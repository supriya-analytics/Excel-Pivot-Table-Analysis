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supriya lokhande\Downloads\"/>
    </mc:Choice>
  </mc:AlternateContent>
  <xr:revisionPtr revIDLastSave="0" documentId="13_ncr:1_{4CF263C9-F069-4EC1-9444-C1C619409D32}" xr6:coauthVersionLast="47" xr6:coauthVersionMax="47" xr10:uidLastSave="{00000000-0000-0000-0000-000000000000}"/>
  <bookViews>
    <workbookView xWindow="-108" yWindow="-108" windowWidth="23256" windowHeight="12456" activeTab="1" xr2:uid="{00000000-000D-0000-FFFF-FFFF00000000}"/>
  </bookViews>
  <sheets>
    <sheet name="Ecommerce_Data" sheetId="1" r:id="rId1"/>
    <sheet name="pivot table and charts " sheetId="3" r:id="rId2"/>
  </sheets>
  <definedNames>
    <definedName name="_xlnm._FilterDatabase" localSheetId="0" hidden="1">Ecommerce_Data!$B$2:$Q$1002</definedName>
    <definedName name="Slicer_Product_Category">#N/A</definedName>
    <definedName name="Slicer_Region">#N/A</definedName>
    <definedName name="Slicer_Segment">#N/A</definedName>
  </definedNames>
  <calcPr calcId="191029"/>
  <pivotCaches>
    <pivotCache cacheId="12" r:id="rId3"/>
    <pivotCache cacheId="1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4" i="1" l="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3" i="1"/>
</calcChain>
</file>

<file path=xl/sharedStrings.xml><?xml version="1.0" encoding="utf-8"?>
<sst xmlns="http://schemas.openxmlformats.org/spreadsheetml/2006/main" count="10049" uniqueCount="2059">
  <si>
    <t>Order_ID</t>
  </si>
  <si>
    <t>Order_Date</t>
  </si>
  <si>
    <t>Customer_ID</t>
  </si>
  <si>
    <t>Customer_Name</t>
  </si>
  <si>
    <t>Gender</t>
  </si>
  <si>
    <t>Age</t>
  </si>
  <si>
    <t>City</t>
  </si>
  <si>
    <t>Region</t>
  </si>
  <si>
    <t>Segment</t>
  </si>
  <si>
    <t>Product_Category</t>
  </si>
  <si>
    <t>Quantity</t>
  </si>
  <si>
    <t>Unit_Price</t>
  </si>
  <si>
    <t>Sales</t>
  </si>
  <si>
    <t>Profit</t>
  </si>
  <si>
    <t>Payment_Method</t>
  </si>
  <si>
    <t>Order_Status</t>
  </si>
  <si>
    <t>ORD0001</t>
  </si>
  <si>
    <t>CUST0001</t>
  </si>
  <si>
    <t>Aarav</t>
  </si>
  <si>
    <t>Female</t>
  </si>
  <si>
    <t>Hyderabad</t>
  </si>
  <si>
    <t>South</t>
  </si>
  <si>
    <t>Corporate</t>
  </si>
  <si>
    <t>Electronics</t>
  </si>
  <si>
    <t>Net Banking</t>
  </si>
  <si>
    <t>Returned</t>
  </si>
  <si>
    <t>ORD0002</t>
  </si>
  <si>
    <t>CUST0002</t>
  </si>
  <si>
    <t>Ananya</t>
  </si>
  <si>
    <t>Delhi</t>
  </si>
  <si>
    <t>Consumer</t>
  </si>
  <si>
    <t>Home &amp; Kitchen</t>
  </si>
  <si>
    <t>Credit Card</t>
  </si>
  <si>
    <t>Cancelled</t>
  </si>
  <si>
    <t>ORD0003</t>
  </si>
  <si>
    <t>CUST0003</t>
  </si>
  <si>
    <t>Sneha</t>
  </si>
  <si>
    <t>Male</t>
  </si>
  <si>
    <t>Mumbai</t>
  </si>
  <si>
    <t>North</t>
  </si>
  <si>
    <t>Sports</t>
  </si>
  <si>
    <t>Delivered</t>
  </si>
  <si>
    <t>ORD0004</t>
  </si>
  <si>
    <t>CUST0004</t>
  </si>
  <si>
    <t>Pooja</t>
  </si>
  <si>
    <t>Chennai</t>
  </si>
  <si>
    <t>West</t>
  </si>
  <si>
    <t>UPI</t>
  </si>
  <si>
    <t>ORD0005</t>
  </si>
  <si>
    <t>CUST0005</t>
  </si>
  <si>
    <t>Home Office</t>
  </si>
  <si>
    <t>Clothing</t>
  </si>
  <si>
    <t>Pending</t>
  </si>
  <si>
    <t>ORD0006</t>
  </si>
  <si>
    <t>CUST0006</t>
  </si>
  <si>
    <t>Vikram</t>
  </si>
  <si>
    <t>Pune</t>
  </si>
  <si>
    <t>ORD0007</t>
  </si>
  <si>
    <t>CUST0007</t>
  </si>
  <si>
    <t>Rohan</t>
  </si>
  <si>
    <t>Cash on Delivery</t>
  </si>
  <si>
    <t>ORD0008</t>
  </si>
  <si>
    <t>CUST0008</t>
  </si>
  <si>
    <t>ORD0009</t>
  </si>
  <si>
    <t>CUST0009</t>
  </si>
  <si>
    <t>Amit</t>
  </si>
  <si>
    <t>Bangalore</t>
  </si>
  <si>
    <t>ORD0010</t>
  </si>
  <si>
    <t>CUST0010</t>
  </si>
  <si>
    <t>Beauty</t>
  </si>
  <si>
    <t>ORD0011</t>
  </si>
  <si>
    <t>CUST0011</t>
  </si>
  <si>
    <t>ORD0012</t>
  </si>
  <si>
    <t>CUST0012</t>
  </si>
  <si>
    <t>ORD0013</t>
  </si>
  <si>
    <t>CUST0013</t>
  </si>
  <si>
    <t>Neha</t>
  </si>
  <si>
    <t>ORD0014</t>
  </si>
  <si>
    <t>CUST0014</t>
  </si>
  <si>
    <t>Rahul</t>
  </si>
  <si>
    <t>Debit Card</t>
  </si>
  <si>
    <t>ORD0015</t>
  </si>
  <si>
    <t>CUST0015</t>
  </si>
  <si>
    <t>ORD0016</t>
  </si>
  <si>
    <t>CUST0016</t>
  </si>
  <si>
    <t>ORD0017</t>
  </si>
  <si>
    <t>CUST0017</t>
  </si>
  <si>
    <t>ORD0018</t>
  </si>
  <si>
    <t>CUST0018</t>
  </si>
  <si>
    <t>ORD0019</t>
  </si>
  <si>
    <t>CUST0019</t>
  </si>
  <si>
    <t>ORD0020</t>
  </si>
  <si>
    <t>CUST0020</t>
  </si>
  <si>
    <t>Priya</t>
  </si>
  <si>
    <t>ORD0021</t>
  </si>
  <si>
    <t>CUST0021</t>
  </si>
  <si>
    <t>ORD0022</t>
  </si>
  <si>
    <t>CUST0022</t>
  </si>
  <si>
    <t>ORD0023</t>
  </si>
  <si>
    <t>CUST0023</t>
  </si>
  <si>
    <t>ORD0024</t>
  </si>
  <si>
    <t>CUST0024</t>
  </si>
  <si>
    <t>ORD0025</t>
  </si>
  <si>
    <t>CUST0025</t>
  </si>
  <si>
    <t>ORD0026</t>
  </si>
  <si>
    <t>CUST0026</t>
  </si>
  <si>
    <t>ORD0027</t>
  </si>
  <si>
    <t>CUST0027</t>
  </si>
  <si>
    <t>ORD0028</t>
  </si>
  <si>
    <t>CUST0028</t>
  </si>
  <si>
    <t>ORD0029</t>
  </si>
  <si>
    <t>CUST0029</t>
  </si>
  <si>
    <t>ORD0030</t>
  </si>
  <si>
    <t>CUST0030</t>
  </si>
  <si>
    <t>ORD0031</t>
  </si>
  <si>
    <t>CUST0031</t>
  </si>
  <si>
    <t>ORD0032</t>
  </si>
  <si>
    <t>CUST0032</t>
  </si>
  <si>
    <t>ORD0033</t>
  </si>
  <si>
    <t>CUST0033</t>
  </si>
  <si>
    <t>ORD0034</t>
  </si>
  <si>
    <t>CUST0034</t>
  </si>
  <si>
    <t>ORD0035</t>
  </si>
  <si>
    <t>CUST0035</t>
  </si>
  <si>
    <t>ORD0036</t>
  </si>
  <si>
    <t>CUST0036</t>
  </si>
  <si>
    <t>ORD0037</t>
  </si>
  <si>
    <t>CUST0037</t>
  </si>
  <si>
    <t>ORD0038</t>
  </si>
  <si>
    <t>CUST0038</t>
  </si>
  <si>
    <t>ORD0039</t>
  </si>
  <si>
    <t>CUST0039</t>
  </si>
  <si>
    <t>ORD0040</t>
  </si>
  <si>
    <t>CUST0040</t>
  </si>
  <si>
    <t>ORD0041</t>
  </si>
  <si>
    <t>CUST0041</t>
  </si>
  <si>
    <t>ORD0042</t>
  </si>
  <si>
    <t>CUST0042</t>
  </si>
  <si>
    <t>ORD0043</t>
  </si>
  <si>
    <t>CUST0043</t>
  </si>
  <si>
    <t>ORD0044</t>
  </si>
  <si>
    <t>CUST0044</t>
  </si>
  <si>
    <t>ORD0045</t>
  </si>
  <si>
    <t>CUST0045</t>
  </si>
  <si>
    <t>ORD0046</t>
  </si>
  <si>
    <t>CUST0046</t>
  </si>
  <si>
    <t>ORD0047</t>
  </si>
  <si>
    <t>CUST0047</t>
  </si>
  <si>
    <t>ORD0048</t>
  </si>
  <si>
    <t>CUST0048</t>
  </si>
  <si>
    <t>ORD0049</t>
  </si>
  <si>
    <t>CUST0049</t>
  </si>
  <si>
    <t>ORD0050</t>
  </si>
  <si>
    <t>CUST0050</t>
  </si>
  <si>
    <t>ORD0051</t>
  </si>
  <si>
    <t>CUST0051</t>
  </si>
  <si>
    <t>ORD0052</t>
  </si>
  <si>
    <t>CUST0052</t>
  </si>
  <si>
    <t>ORD0053</t>
  </si>
  <si>
    <t>CUST0053</t>
  </si>
  <si>
    <t>ORD0054</t>
  </si>
  <si>
    <t>CUST0054</t>
  </si>
  <si>
    <t>ORD0055</t>
  </si>
  <si>
    <t>CUST0055</t>
  </si>
  <si>
    <t>ORD0056</t>
  </si>
  <si>
    <t>CUST0056</t>
  </si>
  <si>
    <t>ORD0057</t>
  </si>
  <si>
    <t>CUST0057</t>
  </si>
  <si>
    <t>ORD0058</t>
  </si>
  <si>
    <t>CUST0058</t>
  </si>
  <si>
    <t>ORD0059</t>
  </si>
  <si>
    <t>CUST0059</t>
  </si>
  <si>
    <t>ORD0060</t>
  </si>
  <si>
    <t>CUST0060</t>
  </si>
  <si>
    <t>ORD0061</t>
  </si>
  <si>
    <t>CUST0061</t>
  </si>
  <si>
    <t>ORD0062</t>
  </si>
  <si>
    <t>CUST0062</t>
  </si>
  <si>
    <t>ORD0063</t>
  </si>
  <si>
    <t>CUST0063</t>
  </si>
  <si>
    <t>ORD0064</t>
  </si>
  <si>
    <t>CUST0064</t>
  </si>
  <si>
    <t>ORD0065</t>
  </si>
  <si>
    <t>CUST0065</t>
  </si>
  <si>
    <t>ORD0066</t>
  </si>
  <si>
    <t>CUST0066</t>
  </si>
  <si>
    <t>ORD0067</t>
  </si>
  <si>
    <t>CUST0067</t>
  </si>
  <si>
    <t>ORD0068</t>
  </si>
  <si>
    <t>CUST0068</t>
  </si>
  <si>
    <t>ORD0069</t>
  </si>
  <si>
    <t>CUST0069</t>
  </si>
  <si>
    <t>ORD0070</t>
  </si>
  <si>
    <t>CUST0070</t>
  </si>
  <si>
    <t>ORD0071</t>
  </si>
  <si>
    <t>CUST0071</t>
  </si>
  <si>
    <t>ORD0072</t>
  </si>
  <si>
    <t>CUST0072</t>
  </si>
  <si>
    <t>ORD0073</t>
  </si>
  <si>
    <t>CUST0073</t>
  </si>
  <si>
    <t>ORD0074</t>
  </si>
  <si>
    <t>CUST0074</t>
  </si>
  <si>
    <t>ORD0075</t>
  </si>
  <si>
    <t>CUST0075</t>
  </si>
  <si>
    <t>ORD0076</t>
  </si>
  <si>
    <t>CUST0076</t>
  </si>
  <si>
    <t>ORD0077</t>
  </si>
  <si>
    <t>CUST0077</t>
  </si>
  <si>
    <t>ORD0078</t>
  </si>
  <si>
    <t>CUST0078</t>
  </si>
  <si>
    <t>ORD0079</t>
  </si>
  <si>
    <t>CUST0079</t>
  </si>
  <si>
    <t>ORD0080</t>
  </si>
  <si>
    <t>CUST0080</t>
  </si>
  <si>
    <t>ORD0081</t>
  </si>
  <si>
    <t>CUST0081</t>
  </si>
  <si>
    <t>ORD0082</t>
  </si>
  <si>
    <t>CUST0082</t>
  </si>
  <si>
    <t>ORD0083</t>
  </si>
  <si>
    <t>CUST0083</t>
  </si>
  <si>
    <t>ORD0084</t>
  </si>
  <si>
    <t>CUST0084</t>
  </si>
  <si>
    <t>ORD0085</t>
  </si>
  <si>
    <t>CUST0085</t>
  </si>
  <si>
    <t>ORD0086</t>
  </si>
  <si>
    <t>CUST0086</t>
  </si>
  <si>
    <t>ORD0087</t>
  </si>
  <si>
    <t>CUST0087</t>
  </si>
  <si>
    <t>ORD0088</t>
  </si>
  <si>
    <t>CUST0088</t>
  </si>
  <si>
    <t>ORD0089</t>
  </si>
  <si>
    <t>CUST0089</t>
  </si>
  <si>
    <t>ORD0090</t>
  </si>
  <si>
    <t>CUST0090</t>
  </si>
  <si>
    <t>ORD0091</t>
  </si>
  <si>
    <t>CUST0091</t>
  </si>
  <si>
    <t>ORD0092</t>
  </si>
  <si>
    <t>CUST0092</t>
  </si>
  <si>
    <t>ORD0093</t>
  </si>
  <si>
    <t>CUST0093</t>
  </si>
  <si>
    <t>ORD0094</t>
  </si>
  <si>
    <t>CUST0094</t>
  </si>
  <si>
    <t>ORD0095</t>
  </si>
  <si>
    <t>CUST0095</t>
  </si>
  <si>
    <t>ORD0096</t>
  </si>
  <si>
    <t>CUST0096</t>
  </si>
  <si>
    <t>ORD0097</t>
  </si>
  <si>
    <t>CUST0097</t>
  </si>
  <si>
    <t>ORD0098</t>
  </si>
  <si>
    <t>CUST0098</t>
  </si>
  <si>
    <t>ORD0099</t>
  </si>
  <si>
    <t>CUST0099</t>
  </si>
  <si>
    <t>ORD0100</t>
  </si>
  <si>
    <t>CUST0100</t>
  </si>
  <si>
    <t>ORD0101</t>
  </si>
  <si>
    <t>CUST0101</t>
  </si>
  <si>
    <t>ORD0102</t>
  </si>
  <si>
    <t>CUST0102</t>
  </si>
  <si>
    <t>ORD0103</t>
  </si>
  <si>
    <t>CUST0103</t>
  </si>
  <si>
    <t>ORD0104</t>
  </si>
  <si>
    <t>CUST0104</t>
  </si>
  <si>
    <t>ORD0105</t>
  </si>
  <si>
    <t>CUST0105</t>
  </si>
  <si>
    <t>ORD0106</t>
  </si>
  <si>
    <t>CUST0106</t>
  </si>
  <si>
    <t>ORD0107</t>
  </si>
  <si>
    <t>CUST0107</t>
  </si>
  <si>
    <t>ORD0108</t>
  </si>
  <si>
    <t>CUST0108</t>
  </si>
  <si>
    <t>ORD0109</t>
  </si>
  <si>
    <t>CUST0109</t>
  </si>
  <si>
    <t>ORD0110</t>
  </si>
  <si>
    <t>CUST0110</t>
  </si>
  <si>
    <t>ORD0111</t>
  </si>
  <si>
    <t>CUST0111</t>
  </si>
  <si>
    <t>ORD0112</t>
  </si>
  <si>
    <t>CUST0112</t>
  </si>
  <si>
    <t>ORD0113</t>
  </si>
  <si>
    <t>CUST0113</t>
  </si>
  <si>
    <t>ORD0114</t>
  </si>
  <si>
    <t>CUST0114</t>
  </si>
  <si>
    <t>ORD0115</t>
  </si>
  <si>
    <t>CUST0115</t>
  </si>
  <si>
    <t>ORD0116</t>
  </si>
  <si>
    <t>CUST0116</t>
  </si>
  <si>
    <t>ORD0117</t>
  </si>
  <si>
    <t>CUST0117</t>
  </si>
  <si>
    <t>ORD0118</t>
  </si>
  <si>
    <t>CUST0118</t>
  </si>
  <si>
    <t>ORD0119</t>
  </si>
  <si>
    <t>CUST0119</t>
  </si>
  <si>
    <t>ORD0120</t>
  </si>
  <si>
    <t>CUST0120</t>
  </si>
  <si>
    <t>ORD0121</t>
  </si>
  <si>
    <t>CUST0121</t>
  </si>
  <si>
    <t>ORD0122</t>
  </si>
  <si>
    <t>CUST0122</t>
  </si>
  <si>
    <t>ORD0123</t>
  </si>
  <si>
    <t>CUST0123</t>
  </si>
  <si>
    <t>ORD0124</t>
  </si>
  <si>
    <t>CUST0124</t>
  </si>
  <si>
    <t>ORD0125</t>
  </si>
  <si>
    <t>CUST0125</t>
  </si>
  <si>
    <t>ORD0126</t>
  </si>
  <si>
    <t>CUST0126</t>
  </si>
  <si>
    <t>ORD0127</t>
  </si>
  <si>
    <t>CUST0127</t>
  </si>
  <si>
    <t>ORD0128</t>
  </si>
  <si>
    <t>CUST0128</t>
  </si>
  <si>
    <t>ORD0129</t>
  </si>
  <si>
    <t>CUST0129</t>
  </si>
  <si>
    <t>ORD0130</t>
  </si>
  <si>
    <t>CUST0130</t>
  </si>
  <si>
    <t>ORD0131</t>
  </si>
  <si>
    <t>CUST0131</t>
  </si>
  <si>
    <t>ORD0132</t>
  </si>
  <si>
    <t>CUST0132</t>
  </si>
  <si>
    <t>ORD0133</t>
  </si>
  <si>
    <t>CUST0133</t>
  </si>
  <si>
    <t>ORD0134</t>
  </si>
  <si>
    <t>CUST0134</t>
  </si>
  <si>
    <t>ORD0135</t>
  </si>
  <si>
    <t>CUST0135</t>
  </si>
  <si>
    <t>ORD0136</t>
  </si>
  <si>
    <t>CUST0136</t>
  </si>
  <si>
    <t>ORD0137</t>
  </si>
  <si>
    <t>CUST0137</t>
  </si>
  <si>
    <t>ORD0138</t>
  </si>
  <si>
    <t>CUST0138</t>
  </si>
  <si>
    <t>ORD0139</t>
  </si>
  <si>
    <t>CUST0139</t>
  </si>
  <si>
    <t>ORD0140</t>
  </si>
  <si>
    <t>CUST0140</t>
  </si>
  <si>
    <t>ORD0141</t>
  </si>
  <si>
    <t>CUST0141</t>
  </si>
  <si>
    <t>ORD0142</t>
  </si>
  <si>
    <t>CUST0142</t>
  </si>
  <si>
    <t>ORD0143</t>
  </si>
  <si>
    <t>CUST0143</t>
  </si>
  <si>
    <t>ORD0144</t>
  </si>
  <si>
    <t>CUST0144</t>
  </si>
  <si>
    <t>ORD0145</t>
  </si>
  <si>
    <t>CUST0145</t>
  </si>
  <si>
    <t>ORD0146</t>
  </si>
  <si>
    <t>CUST0146</t>
  </si>
  <si>
    <t>ORD0147</t>
  </si>
  <si>
    <t>CUST0147</t>
  </si>
  <si>
    <t>ORD0148</t>
  </si>
  <si>
    <t>CUST0148</t>
  </si>
  <si>
    <t>ORD0149</t>
  </si>
  <si>
    <t>CUST0149</t>
  </si>
  <si>
    <t>ORD0150</t>
  </si>
  <si>
    <t>CUST0150</t>
  </si>
  <si>
    <t>ORD0151</t>
  </si>
  <si>
    <t>CUST0151</t>
  </si>
  <si>
    <t>ORD0152</t>
  </si>
  <si>
    <t>CUST0152</t>
  </si>
  <si>
    <t>ORD0153</t>
  </si>
  <si>
    <t>CUST0153</t>
  </si>
  <si>
    <t>ORD0154</t>
  </si>
  <si>
    <t>CUST0154</t>
  </si>
  <si>
    <t>ORD0155</t>
  </si>
  <si>
    <t>CUST0155</t>
  </si>
  <si>
    <t>ORD0156</t>
  </si>
  <si>
    <t>CUST0156</t>
  </si>
  <si>
    <t>ORD0157</t>
  </si>
  <si>
    <t>CUST0157</t>
  </si>
  <si>
    <t>ORD0158</t>
  </si>
  <si>
    <t>CUST0158</t>
  </si>
  <si>
    <t>ORD0159</t>
  </si>
  <si>
    <t>CUST0159</t>
  </si>
  <si>
    <t>ORD0160</t>
  </si>
  <si>
    <t>CUST0160</t>
  </si>
  <si>
    <t>ORD0161</t>
  </si>
  <si>
    <t>CUST0161</t>
  </si>
  <si>
    <t>ORD0162</t>
  </si>
  <si>
    <t>CUST0162</t>
  </si>
  <si>
    <t>ORD0163</t>
  </si>
  <si>
    <t>CUST0163</t>
  </si>
  <si>
    <t>ORD0164</t>
  </si>
  <si>
    <t>CUST0164</t>
  </si>
  <si>
    <t>ORD0165</t>
  </si>
  <si>
    <t>CUST0165</t>
  </si>
  <si>
    <t>ORD0166</t>
  </si>
  <si>
    <t>CUST0166</t>
  </si>
  <si>
    <t>ORD0167</t>
  </si>
  <si>
    <t>CUST0167</t>
  </si>
  <si>
    <t>ORD0168</t>
  </si>
  <si>
    <t>CUST0168</t>
  </si>
  <si>
    <t>ORD0169</t>
  </si>
  <si>
    <t>CUST0169</t>
  </si>
  <si>
    <t>ORD0170</t>
  </si>
  <si>
    <t>CUST0170</t>
  </si>
  <si>
    <t>ORD0171</t>
  </si>
  <si>
    <t>CUST0171</t>
  </si>
  <si>
    <t>ORD0172</t>
  </si>
  <si>
    <t>CUST0172</t>
  </si>
  <si>
    <t>ORD0173</t>
  </si>
  <si>
    <t>CUST0173</t>
  </si>
  <si>
    <t>ORD0174</t>
  </si>
  <si>
    <t>CUST0174</t>
  </si>
  <si>
    <t>ORD0175</t>
  </si>
  <si>
    <t>CUST0175</t>
  </si>
  <si>
    <t>ORD0176</t>
  </si>
  <si>
    <t>CUST0176</t>
  </si>
  <si>
    <t>ORD0177</t>
  </si>
  <si>
    <t>CUST0177</t>
  </si>
  <si>
    <t>ORD0178</t>
  </si>
  <si>
    <t>CUST0178</t>
  </si>
  <si>
    <t>ORD0179</t>
  </si>
  <si>
    <t>CUST0179</t>
  </si>
  <si>
    <t>ORD0180</t>
  </si>
  <si>
    <t>CUST0180</t>
  </si>
  <si>
    <t>ORD0181</t>
  </si>
  <si>
    <t>CUST0181</t>
  </si>
  <si>
    <t>ORD0182</t>
  </si>
  <si>
    <t>CUST0182</t>
  </si>
  <si>
    <t>ORD0183</t>
  </si>
  <si>
    <t>CUST0183</t>
  </si>
  <si>
    <t>ORD0184</t>
  </si>
  <si>
    <t>CUST0184</t>
  </si>
  <si>
    <t>ORD0185</t>
  </si>
  <si>
    <t>CUST0185</t>
  </si>
  <si>
    <t>ORD0186</t>
  </si>
  <si>
    <t>CUST0186</t>
  </si>
  <si>
    <t>ORD0187</t>
  </si>
  <si>
    <t>CUST0187</t>
  </si>
  <si>
    <t>ORD0188</t>
  </si>
  <si>
    <t>CUST0188</t>
  </si>
  <si>
    <t>ORD0189</t>
  </si>
  <si>
    <t>CUST0189</t>
  </si>
  <si>
    <t>ORD0190</t>
  </si>
  <si>
    <t>CUST0190</t>
  </si>
  <si>
    <t>ORD0191</t>
  </si>
  <si>
    <t>CUST0191</t>
  </si>
  <si>
    <t>ORD0192</t>
  </si>
  <si>
    <t>CUST0192</t>
  </si>
  <si>
    <t>ORD0193</t>
  </si>
  <si>
    <t>CUST0193</t>
  </si>
  <si>
    <t>ORD0194</t>
  </si>
  <si>
    <t>CUST0194</t>
  </si>
  <si>
    <t>ORD0195</t>
  </si>
  <si>
    <t>CUST0195</t>
  </si>
  <si>
    <t>ORD0196</t>
  </si>
  <si>
    <t>CUST0196</t>
  </si>
  <si>
    <t>ORD0197</t>
  </si>
  <si>
    <t>CUST0197</t>
  </si>
  <si>
    <t>ORD0198</t>
  </si>
  <si>
    <t>CUST0198</t>
  </si>
  <si>
    <t>ORD0199</t>
  </si>
  <si>
    <t>CUST0199</t>
  </si>
  <si>
    <t>ORD0200</t>
  </si>
  <si>
    <t>CUST0200</t>
  </si>
  <si>
    <t>ORD0201</t>
  </si>
  <si>
    <t>CUST0201</t>
  </si>
  <si>
    <t>ORD0202</t>
  </si>
  <si>
    <t>CUST0202</t>
  </si>
  <si>
    <t>ORD0203</t>
  </si>
  <si>
    <t>CUST0203</t>
  </si>
  <si>
    <t>ORD0204</t>
  </si>
  <si>
    <t>CUST0204</t>
  </si>
  <si>
    <t>ORD0205</t>
  </si>
  <si>
    <t>CUST0205</t>
  </si>
  <si>
    <t>ORD0206</t>
  </si>
  <si>
    <t>CUST0206</t>
  </si>
  <si>
    <t>ORD0207</t>
  </si>
  <si>
    <t>CUST0207</t>
  </si>
  <si>
    <t>ORD0208</t>
  </si>
  <si>
    <t>CUST0208</t>
  </si>
  <si>
    <t>ORD0209</t>
  </si>
  <si>
    <t>CUST0209</t>
  </si>
  <si>
    <t>ORD0210</t>
  </si>
  <si>
    <t>CUST0210</t>
  </si>
  <si>
    <t>ORD0211</t>
  </si>
  <si>
    <t>CUST0211</t>
  </si>
  <si>
    <t>ORD0212</t>
  </si>
  <si>
    <t>CUST0212</t>
  </si>
  <si>
    <t>ORD0213</t>
  </si>
  <si>
    <t>CUST0213</t>
  </si>
  <si>
    <t>ORD0214</t>
  </si>
  <si>
    <t>CUST0214</t>
  </si>
  <si>
    <t>ORD0215</t>
  </si>
  <si>
    <t>CUST0215</t>
  </si>
  <si>
    <t>ORD0216</t>
  </si>
  <si>
    <t>CUST0216</t>
  </si>
  <si>
    <t>ORD0217</t>
  </si>
  <si>
    <t>CUST0217</t>
  </si>
  <si>
    <t>ORD0218</t>
  </si>
  <si>
    <t>CUST0218</t>
  </si>
  <si>
    <t>ORD0219</t>
  </si>
  <si>
    <t>CUST0219</t>
  </si>
  <si>
    <t>ORD0220</t>
  </si>
  <si>
    <t>CUST0220</t>
  </si>
  <si>
    <t>ORD0221</t>
  </si>
  <si>
    <t>CUST0221</t>
  </si>
  <si>
    <t>ORD0222</t>
  </si>
  <si>
    <t>CUST0222</t>
  </si>
  <si>
    <t>ORD0223</t>
  </si>
  <si>
    <t>CUST0223</t>
  </si>
  <si>
    <t>ORD0224</t>
  </si>
  <si>
    <t>CUST0224</t>
  </si>
  <si>
    <t>ORD0225</t>
  </si>
  <si>
    <t>CUST0225</t>
  </si>
  <si>
    <t>ORD0226</t>
  </si>
  <si>
    <t>CUST0226</t>
  </si>
  <si>
    <t>ORD0227</t>
  </si>
  <si>
    <t>CUST0227</t>
  </si>
  <si>
    <t>ORD0228</t>
  </si>
  <si>
    <t>CUST0228</t>
  </si>
  <si>
    <t>ORD0229</t>
  </si>
  <si>
    <t>CUST0229</t>
  </si>
  <si>
    <t>ORD0230</t>
  </si>
  <si>
    <t>CUST0230</t>
  </si>
  <si>
    <t>ORD0231</t>
  </si>
  <si>
    <t>CUST0231</t>
  </si>
  <si>
    <t>ORD0232</t>
  </si>
  <si>
    <t>CUST0232</t>
  </si>
  <si>
    <t>ORD0233</t>
  </si>
  <si>
    <t>CUST0233</t>
  </si>
  <si>
    <t>ORD0234</t>
  </si>
  <si>
    <t>CUST0234</t>
  </si>
  <si>
    <t>ORD0235</t>
  </si>
  <si>
    <t>CUST0235</t>
  </si>
  <si>
    <t>ORD0236</t>
  </si>
  <si>
    <t>CUST0236</t>
  </si>
  <si>
    <t>ORD0237</t>
  </si>
  <si>
    <t>CUST0237</t>
  </si>
  <si>
    <t>ORD0238</t>
  </si>
  <si>
    <t>CUST0238</t>
  </si>
  <si>
    <t>ORD0239</t>
  </si>
  <si>
    <t>CUST0239</t>
  </si>
  <si>
    <t>ORD0240</t>
  </si>
  <si>
    <t>CUST0240</t>
  </si>
  <si>
    <t>ORD0241</t>
  </si>
  <si>
    <t>CUST0241</t>
  </si>
  <si>
    <t>ORD0242</t>
  </si>
  <si>
    <t>CUST0242</t>
  </si>
  <si>
    <t>ORD0243</t>
  </si>
  <si>
    <t>CUST0243</t>
  </si>
  <si>
    <t>ORD0244</t>
  </si>
  <si>
    <t>CUST0244</t>
  </si>
  <si>
    <t>ORD0245</t>
  </si>
  <si>
    <t>CUST0245</t>
  </si>
  <si>
    <t>ORD0246</t>
  </si>
  <si>
    <t>CUST0246</t>
  </si>
  <si>
    <t>ORD0247</t>
  </si>
  <si>
    <t>CUST0247</t>
  </si>
  <si>
    <t>ORD0248</t>
  </si>
  <si>
    <t>CUST0248</t>
  </si>
  <si>
    <t>ORD0249</t>
  </si>
  <si>
    <t>CUST0249</t>
  </si>
  <si>
    <t>ORD0250</t>
  </si>
  <si>
    <t>CUST0250</t>
  </si>
  <si>
    <t>ORD0251</t>
  </si>
  <si>
    <t>CUST0251</t>
  </si>
  <si>
    <t>ORD0252</t>
  </si>
  <si>
    <t>CUST0252</t>
  </si>
  <si>
    <t>ORD0253</t>
  </si>
  <si>
    <t>CUST0253</t>
  </si>
  <si>
    <t>ORD0254</t>
  </si>
  <si>
    <t>CUST0254</t>
  </si>
  <si>
    <t>ORD0255</t>
  </si>
  <si>
    <t>CUST0255</t>
  </si>
  <si>
    <t>ORD0256</t>
  </si>
  <si>
    <t>CUST0256</t>
  </si>
  <si>
    <t>ORD0257</t>
  </si>
  <si>
    <t>CUST0257</t>
  </si>
  <si>
    <t>ORD0258</t>
  </si>
  <si>
    <t>CUST0258</t>
  </si>
  <si>
    <t>ORD0259</t>
  </si>
  <si>
    <t>CUST0259</t>
  </si>
  <si>
    <t>ORD0260</t>
  </si>
  <si>
    <t>CUST0260</t>
  </si>
  <si>
    <t>ORD0261</t>
  </si>
  <si>
    <t>CUST0261</t>
  </si>
  <si>
    <t>ORD0262</t>
  </si>
  <si>
    <t>CUST0262</t>
  </si>
  <si>
    <t>ORD0263</t>
  </si>
  <si>
    <t>CUST0263</t>
  </si>
  <si>
    <t>ORD0264</t>
  </si>
  <si>
    <t>CUST0264</t>
  </si>
  <si>
    <t>ORD0265</t>
  </si>
  <si>
    <t>CUST0265</t>
  </si>
  <si>
    <t>ORD0266</t>
  </si>
  <si>
    <t>CUST0266</t>
  </si>
  <si>
    <t>ORD0267</t>
  </si>
  <si>
    <t>CUST0267</t>
  </si>
  <si>
    <t>ORD0268</t>
  </si>
  <si>
    <t>CUST0268</t>
  </si>
  <si>
    <t>ORD0269</t>
  </si>
  <si>
    <t>CUST0269</t>
  </si>
  <si>
    <t>ORD0270</t>
  </si>
  <si>
    <t>CUST0270</t>
  </si>
  <si>
    <t>ORD0271</t>
  </si>
  <si>
    <t>CUST0271</t>
  </si>
  <si>
    <t>ORD0272</t>
  </si>
  <si>
    <t>CUST0272</t>
  </si>
  <si>
    <t>ORD0273</t>
  </si>
  <si>
    <t>CUST0273</t>
  </si>
  <si>
    <t>ORD0274</t>
  </si>
  <si>
    <t>CUST0274</t>
  </si>
  <si>
    <t>ORD0275</t>
  </si>
  <si>
    <t>CUST0275</t>
  </si>
  <si>
    <t>ORD0276</t>
  </si>
  <si>
    <t>CUST0276</t>
  </si>
  <si>
    <t>ORD0277</t>
  </si>
  <si>
    <t>CUST0277</t>
  </si>
  <si>
    <t>ORD0278</t>
  </si>
  <si>
    <t>CUST0278</t>
  </si>
  <si>
    <t>ORD0279</t>
  </si>
  <si>
    <t>CUST0279</t>
  </si>
  <si>
    <t>ORD0280</t>
  </si>
  <si>
    <t>CUST0280</t>
  </si>
  <si>
    <t>ORD0281</t>
  </si>
  <si>
    <t>CUST0281</t>
  </si>
  <si>
    <t>ORD0282</t>
  </si>
  <si>
    <t>CUST0282</t>
  </si>
  <si>
    <t>ORD0283</t>
  </si>
  <si>
    <t>CUST0283</t>
  </si>
  <si>
    <t>ORD0284</t>
  </si>
  <si>
    <t>CUST0284</t>
  </si>
  <si>
    <t>ORD0285</t>
  </si>
  <si>
    <t>CUST0285</t>
  </si>
  <si>
    <t>ORD0286</t>
  </si>
  <si>
    <t>CUST0286</t>
  </si>
  <si>
    <t>ORD0287</t>
  </si>
  <si>
    <t>CUST0287</t>
  </si>
  <si>
    <t>ORD0288</t>
  </si>
  <si>
    <t>CUST0288</t>
  </si>
  <si>
    <t>ORD0289</t>
  </si>
  <si>
    <t>CUST0289</t>
  </si>
  <si>
    <t>ORD0290</t>
  </si>
  <si>
    <t>CUST0290</t>
  </si>
  <si>
    <t>ORD0291</t>
  </si>
  <si>
    <t>CUST0291</t>
  </si>
  <si>
    <t>ORD0292</t>
  </si>
  <si>
    <t>CUST0292</t>
  </si>
  <si>
    <t>ORD0293</t>
  </si>
  <si>
    <t>CUST0293</t>
  </si>
  <si>
    <t>ORD0294</t>
  </si>
  <si>
    <t>CUST0294</t>
  </si>
  <si>
    <t>ORD0295</t>
  </si>
  <si>
    <t>CUST0295</t>
  </si>
  <si>
    <t>ORD0296</t>
  </si>
  <si>
    <t>CUST0296</t>
  </si>
  <si>
    <t>ORD0297</t>
  </si>
  <si>
    <t>CUST0297</t>
  </si>
  <si>
    <t>ORD0298</t>
  </si>
  <si>
    <t>CUST0298</t>
  </si>
  <si>
    <t>ORD0299</t>
  </si>
  <si>
    <t>CUST0299</t>
  </si>
  <si>
    <t>ORD0300</t>
  </si>
  <si>
    <t>CUST0300</t>
  </si>
  <si>
    <t>ORD0301</t>
  </si>
  <si>
    <t>CUST0301</t>
  </si>
  <si>
    <t>ORD0302</t>
  </si>
  <si>
    <t>CUST0302</t>
  </si>
  <si>
    <t>ORD0303</t>
  </si>
  <si>
    <t>CUST0303</t>
  </si>
  <si>
    <t>ORD0304</t>
  </si>
  <si>
    <t>CUST0304</t>
  </si>
  <si>
    <t>ORD0305</t>
  </si>
  <si>
    <t>CUST0305</t>
  </si>
  <si>
    <t>ORD0306</t>
  </si>
  <si>
    <t>CUST0306</t>
  </si>
  <si>
    <t>ORD0307</t>
  </si>
  <si>
    <t>CUST0307</t>
  </si>
  <si>
    <t>ORD0308</t>
  </si>
  <si>
    <t>CUST0308</t>
  </si>
  <si>
    <t>ORD0309</t>
  </si>
  <si>
    <t>CUST0309</t>
  </si>
  <si>
    <t>ORD0310</t>
  </si>
  <si>
    <t>CUST0310</t>
  </si>
  <si>
    <t>ORD0311</t>
  </si>
  <si>
    <t>CUST0311</t>
  </si>
  <si>
    <t>ORD0312</t>
  </si>
  <si>
    <t>CUST0312</t>
  </si>
  <si>
    <t>ORD0313</t>
  </si>
  <si>
    <t>CUST0313</t>
  </si>
  <si>
    <t>ORD0314</t>
  </si>
  <si>
    <t>CUST0314</t>
  </si>
  <si>
    <t>ORD0315</t>
  </si>
  <si>
    <t>CUST0315</t>
  </si>
  <si>
    <t>ORD0316</t>
  </si>
  <si>
    <t>CUST0316</t>
  </si>
  <si>
    <t>ORD0317</t>
  </si>
  <si>
    <t>CUST0317</t>
  </si>
  <si>
    <t>ORD0318</t>
  </si>
  <si>
    <t>CUST0318</t>
  </si>
  <si>
    <t>ORD0319</t>
  </si>
  <si>
    <t>CUST0319</t>
  </si>
  <si>
    <t>ORD0320</t>
  </si>
  <si>
    <t>CUST0320</t>
  </si>
  <si>
    <t>ORD0321</t>
  </si>
  <si>
    <t>CUST0321</t>
  </si>
  <si>
    <t>ORD0322</t>
  </si>
  <si>
    <t>CUST0322</t>
  </si>
  <si>
    <t>ORD0323</t>
  </si>
  <si>
    <t>CUST0323</t>
  </si>
  <si>
    <t>ORD0324</t>
  </si>
  <si>
    <t>CUST0324</t>
  </si>
  <si>
    <t>ORD0325</t>
  </si>
  <si>
    <t>CUST0325</t>
  </si>
  <si>
    <t>ORD0326</t>
  </si>
  <si>
    <t>CUST0326</t>
  </si>
  <si>
    <t>ORD0327</t>
  </si>
  <si>
    <t>CUST0327</t>
  </si>
  <si>
    <t>ORD0328</t>
  </si>
  <si>
    <t>CUST0328</t>
  </si>
  <si>
    <t>ORD0329</t>
  </si>
  <si>
    <t>CUST0329</t>
  </si>
  <si>
    <t>ORD0330</t>
  </si>
  <si>
    <t>CUST0330</t>
  </si>
  <si>
    <t>ORD0331</t>
  </si>
  <si>
    <t>CUST0331</t>
  </si>
  <si>
    <t>ORD0332</t>
  </si>
  <si>
    <t>CUST0332</t>
  </si>
  <si>
    <t>ORD0333</t>
  </si>
  <si>
    <t>CUST0333</t>
  </si>
  <si>
    <t>ORD0334</t>
  </si>
  <si>
    <t>CUST0334</t>
  </si>
  <si>
    <t>ORD0335</t>
  </si>
  <si>
    <t>CUST0335</t>
  </si>
  <si>
    <t>ORD0336</t>
  </si>
  <si>
    <t>CUST0336</t>
  </si>
  <si>
    <t>ORD0337</t>
  </si>
  <si>
    <t>CUST0337</t>
  </si>
  <si>
    <t>ORD0338</t>
  </si>
  <si>
    <t>CUST0338</t>
  </si>
  <si>
    <t>ORD0339</t>
  </si>
  <si>
    <t>CUST0339</t>
  </si>
  <si>
    <t>ORD0340</t>
  </si>
  <si>
    <t>CUST0340</t>
  </si>
  <si>
    <t>ORD0341</t>
  </si>
  <si>
    <t>CUST0341</t>
  </si>
  <si>
    <t>ORD0342</t>
  </si>
  <si>
    <t>CUST0342</t>
  </si>
  <si>
    <t>ORD0343</t>
  </si>
  <si>
    <t>CUST0343</t>
  </si>
  <si>
    <t>ORD0344</t>
  </si>
  <si>
    <t>CUST0344</t>
  </si>
  <si>
    <t>ORD0345</t>
  </si>
  <si>
    <t>CUST0345</t>
  </si>
  <si>
    <t>ORD0346</t>
  </si>
  <si>
    <t>CUST0346</t>
  </si>
  <si>
    <t>ORD0347</t>
  </si>
  <si>
    <t>CUST0347</t>
  </si>
  <si>
    <t>ORD0348</t>
  </si>
  <si>
    <t>CUST0348</t>
  </si>
  <si>
    <t>ORD0349</t>
  </si>
  <si>
    <t>CUST0349</t>
  </si>
  <si>
    <t>ORD0350</t>
  </si>
  <si>
    <t>CUST0350</t>
  </si>
  <si>
    <t>ORD0351</t>
  </si>
  <si>
    <t>CUST0351</t>
  </si>
  <si>
    <t>ORD0352</t>
  </si>
  <si>
    <t>CUST0352</t>
  </si>
  <si>
    <t>ORD0353</t>
  </si>
  <si>
    <t>CUST0353</t>
  </si>
  <si>
    <t>ORD0354</t>
  </si>
  <si>
    <t>CUST0354</t>
  </si>
  <si>
    <t>ORD0355</t>
  </si>
  <si>
    <t>CUST0355</t>
  </si>
  <si>
    <t>ORD0356</t>
  </si>
  <si>
    <t>CUST0356</t>
  </si>
  <si>
    <t>ORD0357</t>
  </si>
  <si>
    <t>CUST0357</t>
  </si>
  <si>
    <t>ORD0358</t>
  </si>
  <si>
    <t>CUST0358</t>
  </si>
  <si>
    <t>ORD0359</t>
  </si>
  <si>
    <t>CUST0359</t>
  </si>
  <si>
    <t>ORD0360</t>
  </si>
  <si>
    <t>CUST0360</t>
  </si>
  <si>
    <t>ORD0361</t>
  </si>
  <si>
    <t>CUST0361</t>
  </si>
  <si>
    <t>ORD0362</t>
  </si>
  <si>
    <t>CUST0362</t>
  </si>
  <si>
    <t>ORD0363</t>
  </si>
  <si>
    <t>CUST0363</t>
  </si>
  <si>
    <t>ORD0364</t>
  </si>
  <si>
    <t>CUST0364</t>
  </si>
  <si>
    <t>ORD0365</t>
  </si>
  <si>
    <t>CUST0365</t>
  </si>
  <si>
    <t>ORD0366</t>
  </si>
  <si>
    <t>CUST0366</t>
  </si>
  <si>
    <t>ORD0367</t>
  </si>
  <si>
    <t>CUST0367</t>
  </si>
  <si>
    <t>ORD0368</t>
  </si>
  <si>
    <t>CUST0368</t>
  </si>
  <si>
    <t>ORD0369</t>
  </si>
  <si>
    <t>CUST0369</t>
  </si>
  <si>
    <t>ORD0370</t>
  </si>
  <si>
    <t>CUST0370</t>
  </si>
  <si>
    <t>ORD0371</t>
  </si>
  <si>
    <t>CUST0371</t>
  </si>
  <si>
    <t>ORD0372</t>
  </si>
  <si>
    <t>CUST0372</t>
  </si>
  <si>
    <t>ORD0373</t>
  </si>
  <si>
    <t>CUST0373</t>
  </si>
  <si>
    <t>ORD0374</t>
  </si>
  <si>
    <t>CUST0374</t>
  </si>
  <si>
    <t>ORD0375</t>
  </si>
  <si>
    <t>CUST0375</t>
  </si>
  <si>
    <t>ORD0376</t>
  </si>
  <si>
    <t>CUST0376</t>
  </si>
  <si>
    <t>ORD0377</t>
  </si>
  <si>
    <t>CUST0377</t>
  </si>
  <si>
    <t>ORD0378</t>
  </si>
  <si>
    <t>CUST0378</t>
  </si>
  <si>
    <t>ORD0379</t>
  </si>
  <si>
    <t>CUST0379</t>
  </si>
  <si>
    <t>ORD0380</t>
  </si>
  <si>
    <t>CUST0380</t>
  </si>
  <si>
    <t>ORD0381</t>
  </si>
  <si>
    <t>CUST0381</t>
  </si>
  <si>
    <t>ORD0382</t>
  </si>
  <si>
    <t>CUST0382</t>
  </si>
  <si>
    <t>ORD0383</t>
  </si>
  <si>
    <t>CUST0383</t>
  </si>
  <si>
    <t>ORD0384</t>
  </si>
  <si>
    <t>CUST0384</t>
  </si>
  <si>
    <t>ORD0385</t>
  </si>
  <si>
    <t>CUST0385</t>
  </si>
  <si>
    <t>ORD0386</t>
  </si>
  <si>
    <t>CUST0386</t>
  </si>
  <si>
    <t>ORD0387</t>
  </si>
  <si>
    <t>CUST0387</t>
  </si>
  <si>
    <t>ORD0388</t>
  </si>
  <si>
    <t>CUST0388</t>
  </si>
  <si>
    <t>ORD0389</t>
  </si>
  <si>
    <t>CUST0389</t>
  </si>
  <si>
    <t>ORD0390</t>
  </si>
  <si>
    <t>CUST0390</t>
  </si>
  <si>
    <t>ORD0391</t>
  </si>
  <si>
    <t>CUST0391</t>
  </si>
  <si>
    <t>ORD0392</t>
  </si>
  <si>
    <t>CUST0392</t>
  </si>
  <si>
    <t>ORD0393</t>
  </si>
  <si>
    <t>CUST0393</t>
  </si>
  <si>
    <t>ORD0394</t>
  </si>
  <si>
    <t>CUST0394</t>
  </si>
  <si>
    <t>ORD0395</t>
  </si>
  <si>
    <t>CUST0395</t>
  </si>
  <si>
    <t>ORD0396</t>
  </si>
  <si>
    <t>CUST0396</t>
  </si>
  <si>
    <t>ORD0397</t>
  </si>
  <si>
    <t>CUST0397</t>
  </si>
  <si>
    <t>ORD0398</t>
  </si>
  <si>
    <t>CUST0398</t>
  </si>
  <si>
    <t>ORD0399</t>
  </si>
  <si>
    <t>CUST0399</t>
  </si>
  <si>
    <t>ORD0400</t>
  </si>
  <si>
    <t>CUST0400</t>
  </si>
  <si>
    <t>ORD0401</t>
  </si>
  <si>
    <t>CUST0401</t>
  </si>
  <si>
    <t>ORD0402</t>
  </si>
  <si>
    <t>CUST0402</t>
  </si>
  <si>
    <t>ORD0403</t>
  </si>
  <si>
    <t>CUST0403</t>
  </si>
  <si>
    <t>ORD0404</t>
  </si>
  <si>
    <t>CUST0404</t>
  </si>
  <si>
    <t>ORD0405</t>
  </si>
  <si>
    <t>CUST0405</t>
  </si>
  <si>
    <t>ORD0406</t>
  </si>
  <si>
    <t>CUST0406</t>
  </si>
  <si>
    <t>ORD0407</t>
  </si>
  <si>
    <t>CUST0407</t>
  </si>
  <si>
    <t>ORD0408</t>
  </si>
  <si>
    <t>CUST0408</t>
  </si>
  <si>
    <t>ORD0409</t>
  </si>
  <si>
    <t>CUST0409</t>
  </si>
  <si>
    <t>ORD0410</t>
  </si>
  <si>
    <t>CUST0410</t>
  </si>
  <si>
    <t>ORD0411</t>
  </si>
  <si>
    <t>CUST0411</t>
  </si>
  <si>
    <t>ORD0412</t>
  </si>
  <si>
    <t>CUST0412</t>
  </si>
  <si>
    <t>ORD0413</t>
  </si>
  <si>
    <t>CUST0413</t>
  </si>
  <si>
    <t>ORD0414</t>
  </si>
  <si>
    <t>CUST0414</t>
  </si>
  <si>
    <t>ORD0415</t>
  </si>
  <si>
    <t>CUST0415</t>
  </si>
  <si>
    <t>ORD0416</t>
  </si>
  <si>
    <t>CUST0416</t>
  </si>
  <si>
    <t>ORD0417</t>
  </si>
  <si>
    <t>CUST0417</t>
  </si>
  <si>
    <t>ORD0418</t>
  </si>
  <si>
    <t>CUST0418</t>
  </si>
  <si>
    <t>ORD0419</t>
  </si>
  <si>
    <t>CUST0419</t>
  </si>
  <si>
    <t>ORD0420</t>
  </si>
  <si>
    <t>CUST0420</t>
  </si>
  <si>
    <t>ORD0421</t>
  </si>
  <si>
    <t>CUST0421</t>
  </si>
  <si>
    <t>ORD0422</t>
  </si>
  <si>
    <t>CUST0422</t>
  </si>
  <si>
    <t>ORD0423</t>
  </si>
  <si>
    <t>CUST0423</t>
  </si>
  <si>
    <t>ORD0424</t>
  </si>
  <si>
    <t>CUST0424</t>
  </si>
  <si>
    <t>ORD0425</t>
  </si>
  <si>
    <t>CUST0425</t>
  </si>
  <si>
    <t>ORD0426</t>
  </si>
  <si>
    <t>CUST0426</t>
  </si>
  <si>
    <t>ORD0427</t>
  </si>
  <si>
    <t>CUST0427</t>
  </si>
  <si>
    <t>ORD0428</t>
  </si>
  <si>
    <t>CUST0428</t>
  </si>
  <si>
    <t>ORD0429</t>
  </si>
  <si>
    <t>CUST0429</t>
  </si>
  <si>
    <t>ORD0430</t>
  </si>
  <si>
    <t>CUST0430</t>
  </si>
  <si>
    <t>ORD0431</t>
  </si>
  <si>
    <t>CUST0431</t>
  </si>
  <si>
    <t>ORD0432</t>
  </si>
  <si>
    <t>CUST0432</t>
  </si>
  <si>
    <t>ORD0433</t>
  </si>
  <si>
    <t>CUST0433</t>
  </si>
  <si>
    <t>ORD0434</t>
  </si>
  <si>
    <t>CUST0434</t>
  </si>
  <si>
    <t>ORD0435</t>
  </si>
  <si>
    <t>CUST0435</t>
  </si>
  <si>
    <t>ORD0436</t>
  </si>
  <si>
    <t>CUST0436</t>
  </si>
  <si>
    <t>ORD0437</t>
  </si>
  <si>
    <t>CUST0437</t>
  </si>
  <si>
    <t>ORD0438</t>
  </si>
  <si>
    <t>CUST0438</t>
  </si>
  <si>
    <t>ORD0439</t>
  </si>
  <si>
    <t>CUST0439</t>
  </si>
  <si>
    <t>ORD0440</t>
  </si>
  <si>
    <t>CUST0440</t>
  </si>
  <si>
    <t>ORD0441</t>
  </si>
  <si>
    <t>CUST0441</t>
  </si>
  <si>
    <t>ORD0442</t>
  </si>
  <si>
    <t>CUST0442</t>
  </si>
  <si>
    <t>ORD0443</t>
  </si>
  <si>
    <t>CUST0443</t>
  </si>
  <si>
    <t>ORD0444</t>
  </si>
  <si>
    <t>CUST0444</t>
  </si>
  <si>
    <t>ORD0445</t>
  </si>
  <si>
    <t>CUST0445</t>
  </si>
  <si>
    <t>ORD0446</t>
  </si>
  <si>
    <t>CUST0446</t>
  </si>
  <si>
    <t>ORD0447</t>
  </si>
  <si>
    <t>CUST0447</t>
  </si>
  <si>
    <t>ORD0448</t>
  </si>
  <si>
    <t>CUST0448</t>
  </si>
  <si>
    <t>ORD0449</t>
  </si>
  <si>
    <t>CUST0449</t>
  </si>
  <si>
    <t>ORD0450</t>
  </si>
  <si>
    <t>CUST0450</t>
  </si>
  <si>
    <t>ORD0451</t>
  </si>
  <si>
    <t>CUST0451</t>
  </si>
  <si>
    <t>ORD0452</t>
  </si>
  <si>
    <t>CUST0452</t>
  </si>
  <si>
    <t>ORD0453</t>
  </si>
  <si>
    <t>CUST0453</t>
  </si>
  <si>
    <t>ORD0454</t>
  </si>
  <si>
    <t>CUST0454</t>
  </si>
  <si>
    <t>ORD0455</t>
  </si>
  <si>
    <t>CUST0455</t>
  </si>
  <si>
    <t>ORD0456</t>
  </si>
  <si>
    <t>CUST0456</t>
  </si>
  <si>
    <t>ORD0457</t>
  </si>
  <si>
    <t>CUST0457</t>
  </si>
  <si>
    <t>ORD0458</t>
  </si>
  <si>
    <t>CUST0458</t>
  </si>
  <si>
    <t>ORD0459</t>
  </si>
  <si>
    <t>CUST0459</t>
  </si>
  <si>
    <t>ORD0460</t>
  </si>
  <si>
    <t>CUST0460</t>
  </si>
  <si>
    <t>ORD0461</t>
  </si>
  <si>
    <t>CUST0461</t>
  </si>
  <si>
    <t>ORD0462</t>
  </si>
  <si>
    <t>CUST0462</t>
  </si>
  <si>
    <t>ORD0463</t>
  </si>
  <si>
    <t>CUST0463</t>
  </si>
  <si>
    <t>ORD0464</t>
  </si>
  <si>
    <t>CUST0464</t>
  </si>
  <si>
    <t>ORD0465</t>
  </si>
  <si>
    <t>CUST0465</t>
  </si>
  <si>
    <t>ORD0466</t>
  </si>
  <si>
    <t>CUST0466</t>
  </si>
  <si>
    <t>ORD0467</t>
  </si>
  <si>
    <t>CUST0467</t>
  </si>
  <si>
    <t>ORD0468</t>
  </si>
  <si>
    <t>CUST0468</t>
  </si>
  <si>
    <t>ORD0469</t>
  </si>
  <si>
    <t>CUST0469</t>
  </si>
  <si>
    <t>ORD0470</t>
  </si>
  <si>
    <t>CUST0470</t>
  </si>
  <si>
    <t>ORD0471</t>
  </si>
  <si>
    <t>CUST0471</t>
  </si>
  <si>
    <t>ORD0472</t>
  </si>
  <si>
    <t>CUST0472</t>
  </si>
  <si>
    <t>ORD0473</t>
  </si>
  <si>
    <t>CUST0473</t>
  </si>
  <si>
    <t>ORD0474</t>
  </si>
  <si>
    <t>CUST0474</t>
  </si>
  <si>
    <t>ORD0475</t>
  </si>
  <si>
    <t>CUST0475</t>
  </si>
  <si>
    <t>ORD0476</t>
  </si>
  <si>
    <t>CUST0476</t>
  </si>
  <si>
    <t>ORD0477</t>
  </si>
  <si>
    <t>CUST0477</t>
  </si>
  <si>
    <t>ORD0478</t>
  </si>
  <si>
    <t>CUST0478</t>
  </si>
  <si>
    <t>ORD0479</t>
  </si>
  <si>
    <t>CUST0479</t>
  </si>
  <si>
    <t>ORD0480</t>
  </si>
  <si>
    <t>CUST0480</t>
  </si>
  <si>
    <t>ORD0481</t>
  </si>
  <si>
    <t>CUST0481</t>
  </si>
  <si>
    <t>ORD0482</t>
  </si>
  <si>
    <t>CUST0482</t>
  </si>
  <si>
    <t>ORD0483</t>
  </si>
  <si>
    <t>CUST0483</t>
  </si>
  <si>
    <t>ORD0484</t>
  </si>
  <si>
    <t>CUST0484</t>
  </si>
  <si>
    <t>ORD0485</t>
  </si>
  <si>
    <t>CUST0485</t>
  </si>
  <si>
    <t>ORD0486</t>
  </si>
  <si>
    <t>CUST0486</t>
  </si>
  <si>
    <t>ORD0487</t>
  </si>
  <si>
    <t>CUST0487</t>
  </si>
  <si>
    <t>ORD0488</t>
  </si>
  <si>
    <t>CUST0488</t>
  </si>
  <si>
    <t>ORD0489</t>
  </si>
  <si>
    <t>CUST0489</t>
  </si>
  <si>
    <t>ORD0490</t>
  </si>
  <si>
    <t>CUST0490</t>
  </si>
  <si>
    <t>ORD0491</t>
  </si>
  <si>
    <t>CUST0491</t>
  </si>
  <si>
    <t>ORD0492</t>
  </si>
  <si>
    <t>CUST0492</t>
  </si>
  <si>
    <t>ORD0493</t>
  </si>
  <si>
    <t>CUST0493</t>
  </si>
  <si>
    <t>ORD0494</t>
  </si>
  <si>
    <t>CUST0494</t>
  </si>
  <si>
    <t>ORD0495</t>
  </si>
  <si>
    <t>CUST0495</t>
  </si>
  <si>
    <t>ORD0496</t>
  </si>
  <si>
    <t>CUST0496</t>
  </si>
  <si>
    <t>ORD0497</t>
  </si>
  <si>
    <t>CUST0497</t>
  </si>
  <si>
    <t>ORD0498</t>
  </si>
  <si>
    <t>CUST0498</t>
  </si>
  <si>
    <t>ORD0499</t>
  </si>
  <si>
    <t>CUST0499</t>
  </si>
  <si>
    <t>ORD0500</t>
  </si>
  <si>
    <t>CUST0500</t>
  </si>
  <si>
    <t>ORD0501</t>
  </si>
  <si>
    <t>CUST0501</t>
  </si>
  <si>
    <t>ORD0502</t>
  </si>
  <si>
    <t>CUST0502</t>
  </si>
  <si>
    <t>ORD0503</t>
  </si>
  <si>
    <t>CUST0503</t>
  </si>
  <si>
    <t>ORD0504</t>
  </si>
  <si>
    <t>CUST0504</t>
  </si>
  <si>
    <t>ORD0505</t>
  </si>
  <si>
    <t>CUST0505</t>
  </si>
  <si>
    <t>ORD0506</t>
  </si>
  <si>
    <t>CUST0506</t>
  </si>
  <si>
    <t>ORD0507</t>
  </si>
  <si>
    <t>CUST0507</t>
  </si>
  <si>
    <t>ORD0508</t>
  </si>
  <si>
    <t>CUST0508</t>
  </si>
  <si>
    <t>ORD0509</t>
  </si>
  <si>
    <t>CUST0509</t>
  </si>
  <si>
    <t>ORD0510</t>
  </si>
  <si>
    <t>CUST0510</t>
  </si>
  <si>
    <t>ORD0511</t>
  </si>
  <si>
    <t>CUST0511</t>
  </si>
  <si>
    <t>ORD0512</t>
  </si>
  <si>
    <t>CUST0512</t>
  </si>
  <si>
    <t>ORD0513</t>
  </si>
  <si>
    <t>CUST0513</t>
  </si>
  <si>
    <t>ORD0514</t>
  </si>
  <si>
    <t>CUST0514</t>
  </si>
  <si>
    <t>ORD0515</t>
  </si>
  <si>
    <t>CUST0515</t>
  </si>
  <si>
    <t>ORD0516</t>
  </si>
  <si>
    <t>CUST0516</t>
  </si>
  <si>
    <t>ORD0517</t>
  </si>
  <si>
    <t>CUST0517</t>
  </si>
  <si>
    <t>ORD0518</t>
  </si>
  <si>
    <t>CUST0518</t>
  </si>
  <si>
    <t>ORD0519</t>
  </si>
  <si>
    <t>CUST0519</t>
  </si>
  <si>
    <t>ORD0520</t>
  </si>
  <si>
    <t>CUST0520</t>
  </si>
  <si>
    <t>ORD0521</t>
  </si>
  <si>
    <t>CUST0521</t>
  </si>
  <si>
    <t>ORD0522</t>
  </si>
  <si>
    <t>CUST0522</t>
  </si>
  <si>
    <t>ORD0523</t>
  </si>
  <si>
    <t>CUST0523</t>
  </si>
  <si>
    <t>ORD0524</t>
  </si>
  <si>
    <t>CUST0524</t>
  </si>
  <si>
    <t>ORD0525</t>
  </si>
  <si>
    <t>CUST0525</t>
  </si>
  <si>
    <t>ORD0526</t>
  </si>
  <si>
    <t>CUST0526</t>
  </si>
  <si>
    <t>ORD0527</t>
  </si>
  <si>
    <t>CUST0527</t>
  </si>
  <si>
    <t>ORD0528</t>
  </si>
  <si>
    <t>CUST0528</t>
  </si>
  <si>
    <t>ORD0529</t>
  </si>
  <si>
    <t>CUST0529</t>
  </si>
  <si>
    <t>ORD0530</t>
  </si>
  <si>
    <t>CUST0530</t>
  </si>
  <si>
    <t>ORD0531</t>
  </si>
  <si>
    <t>CUST0531</t>
  </si>
  <si>
    <t>ORD0532</t>
  </si>
  <si>
    <t>CUST0532</t>
  </si>
  <si>
    <t>ORD0533</t>
  </si>
  <si>
    <t>CUST0533</t>
  </si>
  <si>
    <t>ORD0534</t>
  </si>
  <si>
    <t>CUST0534</t>
  </si>
  <si>
    <t>ORD0535</t>
  </si>
  <si>
    <t>CUST0535</t>
  </si>
  <si>
    <t>ORD0536</t>
  </si>
  <si>
    <t>CUST0536</t>
  </si>
  <si>
    <t>ORD0537</t>
  </si>
  <si>
    <t>CUST0537</t>
  </si>
  <si>
    <t>ORD0538</t>
  </si>
  <si>
    <t>CUST0538</t>
  </si>
  <si>
    <t>ORD0539</t>
  </si>
  <si>
    <t>CUST0539</t>
  </si>
  <si>
    <t>ORD0540</t>
  </si>
  <si>
    <t>CUST0540</t>
  </si>
  <si>
    <t>ORD0541</t>
  </si>
  <si>
    <t>CUST0541</t>
  </si>
  <si>
    <t>ORD0542</t>
  </si>
  <si>
    <t>CUST0542</t>
  </si>
  <si>
    <t>ORD0543</t>
  </si>
  <si>
    <t>CUST0543</t>
  </si>
  <si>
    <t>ORD0544</t>
  </si>
  <si>
    <t>CUST0544</t>
  </si>
  <si>
    <t>ORD0545</t>
  </si>
  <si>
    <t>CUST0545</t>
  </si>
  <si>
    <t>ORD0546</t>
  </si>
  <si>
    <t>CUST0546</t>
  </si>
  <si>
    <t>ORD0547</t>
  </si>
  <si>
    <t>CUST0547</t>
  </si>
  <si>
    <t>ORD0548</t>
  </si>
  <si>
    <t>CUST0548</t>
  </si>
  <si>
    <t>ORD0549</t>
  </si>
  <si>
    <t>CUST0549</t>
  </si>
  <si>
    <t>ORD0550</t>
  </si>
  <si>
    <t>CUST0550</t>
  </si>
  <si>
    <t>ORD0551</t>
  </si>
  <si>
    <t>CUST0551</t>
  </si>
  <si>
    <t>ORD0552</t>
  </si>
  <si>
    <t>CUST0552</t>
  </si>
  <si>
    <t>ORD0553</t>
  </si>
  <si>
    <t>CUST0553</t>
  </si>
  <si>
    <t>ORD0554</t>
  </si>
  <si>
    <t>CUST0554</t>
  </si>
  <si>
    <t>ORD0555</t>
  </si>
  <si>
    <t>CUST0555</t>
  </si>
  <si>
    <t>ORD0556</t>
  </si>
  <si>
    <t>CUST0556</t>
  </si>
  <si>
    <t>ORD0557</t>
  </si>
  <si>
    <t>CUST0557</t>
  </si>
  <si>
    <t>ORD0558</t>
  </si>
  <si>
    <t>CUST0558</t>
  </si>
  <si>
    <t>ORD0559</t>
  </si>
  <si>
    <t>CUST0559</t>
  </si>
  <si>
    <t>ORD0560</t>
  </si>
  <si>
    <t>CUST0560</t>
  </si>
  <si>
    <t>ORD0561</t>
  </si>
  <si>
    <t>CUST0561</t>
  </si>
  <si>
    <t>ORD0562</t>
  </si>
  <si>
    <t>CUST0562</t>
  </si>
  <si>
    <t>ORD0563</t>
  </si>
  <si>
    <t>CUST0563</t>
  </si>
  <si>
    <t>ORD0564</t>
  </si>
  <si>
    <t>CUST0564</t>
  </si>
  <si>
    <t>ORD0565</t>
  </si>
  <si>
    <t>CUST0565</t>
  </si>
  <si>
    <t>ORD0566</t>
  </si>
  <si>
    <t>CUST0566</t>
  </si>
  <si>
    <t>ORD0567</t>
  </si>
  <si>
    <t>CUST0567</t>
  </si>
  <si>
    <t>ORD0568</t>
  </si>
  <si>
    <t>CUST0568</t>
  </si>
  <si>
    <t>ORD0569</t>
  </si>
  <si>
    <t>CUST0569</t>
  </si>
  <si>
    <t>ORD0570</t>
  </si>
  <si>
    <t>CUST0570</t>
  </si>
  <si>
    <t>ORD0571</t>
  </si>
  <si>
    <t>CUST0571</t>
  </si>
  <si>
    <t>ORD0572</t>
  </si>
  <si>
    <t>CUST0572</t>
  </si>
  <si>
    <t>ORD0573</t>
  </si>
  <si>
    <t>CUST0573</t>
  </si>
  <si>
    <t>ORD0574</t>
  </si>
  <si>
    <t>CUST0574</t>
  </si>
  <si>
    <t>ORD0575</t>
  </si>
  <si>
    <t>CUST0575</t>
  </si>
  <si>
    <t>ORD0576</t>
  </si>
  <si>
    <t>CUST0576</t>
  </si>
  <si>
    <t>ORD0577</t>
  </si>
  <si>
    <t>CUST0577</t>
  </si>
  <si>
    <t>ORD0578</t>
  </si>
  <si>
    <t>CUST0578</t>
  </si>
  <si>
    <t>ORD0579</t>
  </si>
  <si>
    <t>CUST0579</t>
  </si>
  <si>
    <t>ORD0580</t>
  </si>
  <si>
    <t>CUST0580</t>
  </si>
  <si>
    <t>ORD0581</t>
  </si>
  <si>
    <t>CUST0581</t>
  </si>
  <si>
    <t>ORD0582</t>
  </si>
  <si>
    <t>CUST0582</t>
  </si>
  <si>
    <t>ORD0583</t>
  </si>
  <si>
    <t>CUST0583</t>
  </si>
  <si>
    <t>ORD0584</t>
  </si>
  <si>
    <t>CUST0584</t>
  </si>
  <si>
    <t>ORD0585</t>
  </si>
  <si>
    <t>CUST0585</t>
  </si>
  <si>
    <t>ORD0586</t>
  </si>
  <si>
    <t>CUST0586</t>
  </si>
  <si>
    <t>ORD0587</t>
  </si>
  <si>
    <t>CUST0587</t>
  </si>
  <si>
    <t>ORD0588</t>
  </si>
  <si>
    <t>CUST0588</t>
  </si>
  <si>
    <t>ORD0589</t>
  </si>
  <si>
    <t>CUST0589</t>
  </si>
  <si>
    <t>ORD0590</t>
  </si>
  <si>
    <t>CUST0590</t>
  </si>
  <si>
    <t>ORD0591</t>
  </si>
  <si>
    <t>CUST0591</t>
  </si>
  <si>
    <t>ORD0592</t>
  </si>
  <si>
    <t>CUST0592</t>
  </si>
  <si>
    <t>ORD0593</t>
  </si>
  <si>
    <t>CUST0593</t>
  </si>
  <si>
    <t>ORD0594</t>
  </si>
  <si>
    <t>CUST0594</t>
  </si>
  <si>
    <t>ORD0595</t>
  </si>
  <si>
    <t>CUST0595</t>
  </si>
  <si>
    <t>ORD0596</t>
  </si>
  <si>
    <t>CUST0596</t>
  </si>
  <si>
    <t>ORD0597</t>
  </si>
  <si>
    <t>CUST0597</t>
  </si>
  <si>
    <t>ORD0598</t>
  </si>
  <si>
    <t>CUST0598</t>
  </si>
  <si>
    <t>ORD0599</t>
  </si>
  <si>
    <t>CUST0599</t>
  </si>
  <si>
    <t>ORD0600</t>
  </si>
  <si>
    <t>CUST0600</t>
  </si>
  <si>
    <t>ORD0601</t>
  </si>
  <si>
    <t>CUST0601</t>
  </si>
  <si>
    <t>ORD0602</t>
  </si>
  <si>
    <t>CUST0602</t>
  </si>
  <si>
    <t>ORD0603</t>
  </si>
  <si>
    <t>CUST0603</t>
  </si>
  <si>
    <t>ORD0604</t>
  </si>
  <si>
    <t>CUST0604</t>
  </si>
  <si>
    <t>ORD0605</t>
  </si>
  <si>
    <t>CUST0605</t>
  </si>
  <si>
    <t>ORD0606</t>
  </si>
  <si>
    <t>CUST0606</t>
  </si>
  <si>
    <t>ORD0607</t>
  </si>
  <si>
    <t>CUST0607</t>
  </si>
  <si>
    <t>ORD0608</t>
  </si>
  <si>
    <t>CUST0608</t>
  </si>
  <si>
    <t>ORD0609</t>
  </si>
  <si>
    <t>CUST0609</t>
  </si>
  <si>
    <t>ORD0610</t>
  </si>
  <si>
    <t>CUST0610</t>
  </si>
  <si>
    <t>ORD0611</t>
  </si>
  <si>
    <t>CUST0611</t>
  </si>
  <si>
    <t>ORD0612</t>
  </si>
  <si>
    <t>CUST0612</t>
  </si>
  <si>
    <t>ORD0613</t>
  </si>
  <si>
    <t>CUST0613</t>
  </si>
  <si>
    <t>ORD0614</t>
  </si>
  <si>
    <t>CUST0614</t>
  </si>
  <si>
    <t>ORD0615</t>
  </si>
  <si>
    <t>CUST0615</t>
  </si>
  <si>
    <t>ORD0616</t>
  </si>
  <si>
    <t>CUST0616</t>
  </si>
  <si>
    <t>ORD0617</t>
  </si>
  <si>
    <t>CUST0617</t>
  </si>
  <si>
    <t>ORD0618</t>
  </si>
  <si>
    <t>CUST0618</t>
  </si>
  <si>
    <t>ORD0619</t>
  </si>
  <si>
    <t>CUST0619</t>
  </si>
  <si>
    <t>ORD0620</t>
  </si>
  <si>
    <t>CUST0620</t>
  </si>
  <si>
    <t>ORD0621</t>
  </si>
  <si>
    <t>CUST0621</t>
  </si>
  <si>
    <t>ORD0622</t>
  </si>
  <si>
    <t>CUST0622</t>
  </si>
  <si>
    <t>ORD0623</t>
  </si>
  <si>
    <t>CUST0623</t>
  </si>
  <si>
    <t>ORD0624</t>
  </si>
  <si>
    <t>CUST0624</t>
  </si>
  <si>
    <t>ORD0625</t>
  </si>
  <si>
    <t>CUST0625</t>
  </si>
  <si>
    <t>ORD0626</t>
  </si>
  <si>
    <t>CUST0626</t>
  </si>
  <si>
    <t>ORD0627</t>
  </si>
  <si>
    <t>CUST0627</t>
  </si>
  <si>
    <t>ORD0628</t>
  </si>
  <si>
    <t>CUST0628</t>
  </si>
  <si>
    <t>ORD0629</t>
  </si>
  <si>
    <t>CUST0629</t>
  </si>
  <si>
    <t>ORD0630</t>
  </si>
  <si>
    <t>CUST0630</t>
  </si>
  <si>
    <t>ORD0631</t>
  </si>
  <si>
    <t>CUST0631</t>
  </si>
  <si>
    <t>ORD0632</t>
  </si>
  <si>
    <t>CUST0632</t>
  </si>
  <si>
    <t>ORD0633</t>
  </si>
  <si>
    <t>CUST0633</t>
  </si>
  <si>
    <t>ORD0634</t>
  </si>
  <si>
    <t>CUST0634</t>
  </si>
  <si>
    <t>ORD0635</t>
  </si>
  <si>
    <t>CUST0635</t>
  </si>
  <si>
    <t>ORD0636</t>
  </si>
  <si>
    <t>CUST0636</t>
  </si>
  <si>
    <t>ORD0637</t>
  </si>
  <si>
    <t>CUST0637</t>
  </si>
  <si>
    <t>ORD0638</t>
  </si>
  <si>
    <t>CUST0638</t>
  </si>
  <si>
    <t>ORD0639</t>
  </si>
  <si>
    <t>CUST0639</t>
  </si>
  <si>
    <t>ORD0640</t>
  </si>
  <si>
    <t>CUST0640</t>
  </si>
  <si>
    <t>ORD0641</t>
  </si>
  <si>
    <t>CUST0641</t>
  </si>
  <si>
    <t>ORD0642</t>
  </si>
  <si>
    <t>CUST0642</t>
  </si>
  <si>
    <t>ORD0643</t>
  </si>
  <si>
    <t>CUST0643</t>
  </si>
  <si>
    <t>ORD0644</t>
  </si>
  <si>
    <t>CUST0644</t>
  </si>
  <si>
    <t>ORD0645</t>
  </si>
  <si>
    <t>CUST0645</t>
  </si>
  <si>
    <t>ORD0646</t>
  </si>
  <si>
    <t>CUST0646</t>
  </si>
  <si>
    <t>ORD0647</t>
  </si>
  <si>
    <t>CUST0647</t>
  </si>
  <si>
    <t>ORD0648</t>
  </si>
  <si>
    <t>CUST0648</t>
  </si>
  <si>
    <t>ORD0649</t>
  </si>
  <si>
    <t>CUST0649</t>
  </si>
  <si>
    <t>ORD0650</t>
  </si>
  <si>
    <t>CUST0650</t>
  </si>
  <si>
    <t>ORD0651</t>
  </si>
  <si>
    <t>CUST0651</t>
  </si>
  <si>
    <t>ORD0652</t>
  </si>
  <si>
    <t>CUST0652</t>
  </si>
  <si>
    <t>ORD0653</t>
  </si>
  <si>
    <t>CUST0653</t>
  </si>
  <si>
    <t>ORD0654</t>
  </si>
  <si>
    <t>CUST0654</t>
  </si>
  <si>
    <t>ORD0655</t>
  </si>
  <si>
    <t>CUST0655</t>
  </si>
  <si>
    <t>ORD0656</t>
  </si>
  <si>
    <t>CUST0656</t>
  </si>
  <si>
    <t>ORD0657</t>
  </si>
  <si>
    <t>CUST0657</t>
  </si>
  <si>
    <t>ORD0658</t>
  </si>
  <si>
    <t>CUST0658</t>
  </si>
  <si>
    <t>ORD0659</t>
  </si>
  <si>
    <t>CUST0659</t>
  </si>
  <si>
    <t>ORD0660</t>
  </si>
  <si>
    <t>CUST0660</t>
  </si>
  <si>
    <t>ORD0661</t>
  </si>
  <si>
    <t>CUST0661</t>
  </si>
  <si>
    <t>ORD0662</t>
  </si>
  <si>
    <t>CUST0662</t>
  </si>
  <si>
    <t>ORD0663</t>
  </si>
  <si>
    <t>CUST0663</t>
  </si>
  <si>
    <t>ORD0664</t>
  </si>
  <si>
    <t>CUST0664</t>
  </si>
  <si>
    <t>ORD0665</t>
  </si>
  <si>
    <t>CUST0665</t>
  </si>
  <si>
    <t>ORD0666</t>
  </si>
  <si>
    <t>CUST0666</t>
  </si>
  <si>
    <t>ORD0667</t>
  </si>
  <si>
    <t>CUST0667</t>
  </si>
  <si>
    <t>ORD0668</t>
  </si>
  <si>
    <t>CUST0668</t>
  </si>
  <si>
    <t>ORD0669</t>
  </si>
  <si>
    <t>CUST0669</t>
  </si>
  <si>
    <t>ORD0670</t>
  </si>
  <si>
    <t>CUST0670</t>
  </si>
  <si>
    <t>ORD0671</t>
  </si>
  <si>
    <t>CUST0671</t>
  </si>
  <si>
    <t>ORD0672</t>
  </si>
  <si>
    <t>CUST0672</t>
  </si>
  <si>
    <t>ORD0673</t>
  </si>
  <si>
    <t>CUST0673</t>
  </si>
  <si>
    <t>ORD0674</t>
  </si>
  <si>
    <t>CUST0674</t>
  </si>
  <si>
    <t>ORD0675</t>
  </si>
  <si>
    <t>CUST0675</t>
  </si>
  <si>
    <t>ORD0676</t>
  </si>
  <si>
    <t>CUST0676</t>
  </si>
  <si>
    <t>ORD0677</t>
  </si>
  <si>
    <t>CUST0677</t>
  </si>
  <si>
    <t>ORD0678</t>
  </si>
  <si>
    <t>CUST0678</t>
  </si>
  <si>
    <t>ORD0679</t>
  </si>
  <si>
    <t>CUST0679</t>
  </si>
  <si>
    <t>ORD0680</t>
  </si>
  <si>
    <t>CUST0680</t>
  </si>
  <si>
    <t>ORD0681</t>
  </si>
  <si>
    <t>CUST0681</t>
  </si>
  <si>
    <t>ORD0682</t>
  </si>
  <si>
    <t>CUST0682</t>
  </si>
  <si>
    <t>ORD0683</t>
  </si>
  <si>
    <t>CUST0683</t>
  </si>
  <si>
    <t>ORD0684</t>
  </si>
  <si>
    <t>CUST0684</t>
  </si>
  <si>
    <t>ORD0685</t>
  </si>
  <si>
    <t>CUST0685</t>
  </si>
  <si>
    <t>ORD0686</t>
  </si>
  <si>
    <t>CUST0686</t>
  </si>
  <si>
    <t>ORD0687</t>
  </si>
  <si>
    <t>CUST0687</t>
  </si>
  <si>
    <t>ORD0688</t>
  </si>
  <si>
    <t>CUST0688</t>
  </si>
  <si>
    <t>ORD0689</t>
  </si>
  <si>
    <t>CUST0689</t>
  </si>
  <si>
    <t>ORD0690</t>
  </si>
  <si>
    <t>CUST0690</t>
  </si>
  <si>
    <t>ORD0691</t>
  </si>
  <si>
    <t>CUST0691</t>
  </si>
  <si>
    <t>ORD0692</t>
  </si>
  <si>
    <t>CUST0692</t>
  </si>
  <si>
    <t>ORD0693</t>
  </si>
  <si>
    <t>CUST0693</t>
  </si>
  <si>
    <t>ORD0694</t>
  </si>
  <si>
    <t>CUST0694</t>
  </si>
  <si>
    <t>ORD0695</t>
  </si>
  <si>
    <t>CUST0695</t>
  </si>
  <si>
    <t>ORD0696</t>
  </si>
  <si>
    <t>CUST0696</t>
  </si>
  <si>
    <t>ORD0697</t>
  </si>
  <si>
    <t>CUST0697</t>
  </si>
  <si>
    <t>ORD0698</t>
  </si>
  <si>
    <t>CUST0698</t>
  </si>
  <si>
    <t>ORD0699</t>
  </si>
  <si>
    <t>CUST0699</t>
  </si>
  <si>
    <t>ORD0700</t>
  </si>
  <si>
    <t>CUST0700</t>
  </si>
  <si>
    <t>ORD0701</t>
  </si>
  <si>
    <t>CUST0701</t>
  </si>
  <si>
    <t>ORD0702</t>
  </si>
  <si>
    <t>CUST0702</t>
  </si>
  <si>
    <t>ORD0703</t>
  </si>
  <si>
    <t>CUST0703</t>
  </si>
  <si>
    <t>ORD0704</t>
  </si>
  <si>
    <t>CUST0704</t>
  </si>
  <si>
    <t>ORD0705</t>
  </si>
  <si>
    <t>CUST0705</t>
  </si>
  <si>
    <t>ORD0706</t>
  </si>
  <si>
    <t>CUST0706</t>
  </si>
  <si>
    <t>ORD0707</t>
  </si>
  <si>
    <t>CUST0707</t>
  </si>
  <si>
    <t>ORD0708</t>
  </si>
  <si>
    <t>CUST0708</t>
  </si>
  <si>
    <t>ORD0709</t>
  </si>
  <si>
    <t>CUST0709</t>
  </si>
  <si>
    <t>ORD0710</t>
  </si>
  <si>
    <t>CUST0710</t>
  </si>
  <si>
    <t>ORD0711</t>
  </si>
  <si>
    <t>CUST0711</t>
  </si>
  <si>
    <t>ORD0712</t>
  </si>
  <si>
    <t>CUST0712</t>
  </si>
  <si>
    <t>ORD0713</t>
  </si>
  <si>
    <t>CUST0713</t>
  </si>
  <si>
    <t>ORD0714</t>
  </si>
  <si>
    <t>CUST0714</t>
  </si>
  <si>
    <t>ORD0715</t>
  </si>
  <si>
    <t>CUST0715</t>
  </si>
  <si>
    <t>ORD0716</t>
  </si>
  <si>
    <t>CUST0716</t>
  </si>
  <si>
    <t>ORD0717</t>
  </si>
  <si>
    <t>CUST0717</t>
  </si>
  <si>
    <t>ORD0718</t>
  </si>
  <si>
    <t>CUST0718</t>
  </si>
  <si>
    <t>ORD0719</t>
  </si>
  <si>
    <t>CUST0719</t>
  </si>
  <si>
    <t>ORD0720</t>
  </si>
  <si>
    <t>CUST0720</t>
  </si>
  <si>
    <t>ORD0721</t>
  </si>
  <si>
    <t>CUST0721</t>
  </si>
  <si>
    <t>ORD0722</t>
  </si>
  <si>
    <t>CUST0722</t>
  </si>
  <si>
    <t>ORD0723</t>
  </si>
  <si>
    <t>CUST0723</t>
  </si>
  <si>
    <t>ORD0724</t>
  </si>
  <si>
    <t>CUST0724</t>
  </si>
  <si>
    <t>ORD0725</t>
  </si>
  <si>
    <t>CUST0725</t>
  </si>
  <si>
    <t>ORD0726</t>
  </si>
  <si>
    <t>CUST0726</t>
  </si>
  <si>
    <t>ORD0727</t>
  </si>
  <si>
    <t>CUST0727</t>
  </si>
  <si>
    <t>ORD0728</t>
  </si>
  <si>
    <t>CUST0728</t>
  </si>
  <si>
    <t>ORD0729</t>
  </si>
  <si>
    <t>CUST0729</t>
  </si>
  <si>
    <t>ORD0730</t>
  </si>
  <si>
    <t>CUST0730</t>
  </si>
  <si>
    <t>ORD0731</t>
  </si>
  <si>
    <t>CUST0731</t>
  </si>
  <si>
    <t>ORD0732</t>
  </si>
  <si>
    <t>CUST0732</t>
  </si>
  <si>
    <t>ORD0733</t>
  </si>
  <si>
    <t>CUST0733</t>
  </si>
  <si>
    <t>ORD0734</t>
  </si>
  <si>
    <t>CUST0734</t>
  </si>
  <si>
    <t>ORD0735</t>
  </si>
  <si>
    <t>CUST0735</t>
  </si>
  <si>
    <t>ORD0736</t>
  </si>
  <si>
    <t>CUST0736</t>
  </si>
  <si>
    <t>ORD0737</t>
  </si>
  <si>
    <t>CUST0737</t>
  </si>
  <si>
    <t>ORD0738</t>
  </si>
  <si>
    <t>CUST0738</t>
  </si>
  <si>
    <t>ORD0739</t>
  </si>
  <si>
    <t>CUST0739</t>
  </si>
  <si>
    <t>ORD0740</t>
  </si>
  <si>
    <t>CUST0740</t>
  </si>
  <si>
    <t>ORD0741</t>
  </si>
  <si>
    <t>CUST0741</t>
  </si>
  <si>
    <t>ORD0742</t>
  </si>
  <si>
    <t>CUST0742</t>
  </si>
  <si>
    <t>ORD0743</t>
  </si>
  <si>
    <t>CUST0743</t>
  </si>
  <si>
    <t>ORD0744</t>
  </si>
  <si>
    <t>CUST0744</t>
  </si>
  <si>
    <t>ORD0745</t>
  </si>
  <si>
    <t>CUST0745</t>
  </si>
  <si>
    <t>ORD0746</t>
  </si>
  <si>
    <t>CUST0746</t>
  </si>
  <si>
    <t>ORD0747</t>
  </si>
  <si>
    <t>CUST0747</t>
  </si>
  <si>
    <t>ORD0748</t>
  </si>
  <si>
    <t>CUST0748</t>
  </si>
  <si>
    <t>ORD0749</t>
  </si>
  <si>
    <t>CUST0749</t>
  </si>
  <si>
    <t>ORD0750</t>
  </si>
  <si>
    <t>CUST0750</t>
  </si>
  <si>
    <t>ORD0751</t>
  </si>
  <si>
    <t>CUST0751</t>
  </si>
  <si>
    <t>ORD0752</t>
  </si>
  <si>
    <t>CUST0752</t>
  </si>
  <si>
    <t>ORD0753</t>
  </si>
  <si>
    <t>CUST0753</t>
  </si>
  <si>
    <t>ORD0754</t>
  </si>
  <si>
    <t>CUST0754</t>
  </si>
  <si>
    <t>ORD0755</t>
  </si>
  <si>
    <t>CUST0755</t>
  </si>
  <si>
    <t>ORD0756</t>
  </si>
  <si>
    <t>CUST0756</t>
  </si>
  <si>
    <t>ORD0757</t>
  </si>
  <si>
    <t>CUST0757</t>
  </si>
  <si>
    <t>ORD0758</t>
  </si>
  <si>
    <t>CUST0758</t>
  </si>
  <si>
    <t>ORD0759</t>
  </si>
  <si>
    <t>CUST0759</t>
  </si>
  <si>
    <t>ORD0760</t>
  </si>
  <si>
    <t>CUST0760</t>
  </si>
  <si>
    <t>ORD0761</t>
  </si>
  <si>
    <t>CUST0761</t>
  </si>
  <si>
    <t>ORD0762</t>
  </si>
  <si>
    <t>CUST0762</t>
  </si>
  <si>
    <t>ORD0763</t>
  </si>
  <si>
    <t>CUST0763</t>
  </si>
  <si>
    <t>ORD0764</t>
  </si>
  <si>
    <t>CUST0764</t>
  </si>
  <si>
    <t>ORD0765</t>
  </si>
  <si>
    <t>CUST0765</t>
  </si>
  <si>
    <t>ORD0766</t>
  </si>
  <si>
    <t>CUST0766</t>
  </si>
  <si>
    <t>ORD0767</t>
  </si>
  <si>
    <t>CUST0767</t>
  </si>
  <si>
    <t>ORD0768</t>
  </si>
  <si>
    <t>CUST0768</t>
  </si>
  <si>
    <t>ORD0769</t>
  </si>
  <si>
    <t>CUST0769</t>
  </si>
  <si>
    <t>ORD0770</t>
  </si>
  <si>
    <t>CUST0770</t>
  </si>
  <si>
    <t>ORD0771</t>
  </si>
  <si>
    <t>CUST0771</t>
  </si>
  <si>
    <t>ORD0772</t>
  </si>
  <si>
    <t>CUST0772</t>
  </si>
  <si>
    <t>ORD0773</t>
  </si>
  <si>
    <t>CUST0773</t>
  </si>
  <si>
    <t>ORD0774</t>
  </si>
  <si>
    <t>CUST0774</t>
  </si>
  <si>
    <t>ORD0775</t>
  </si>
  <si>
    <t>CUST0775</t>
  </si>
  <si>
    <t>ORD0776</t>
  </si>
  <si>
    <t>CUST0776</t>
  </si>
  <si>
    <t>ORD0777</t>
  </si>
  <si>
    <t>CUST0777</t>
  </si>
  <si>
    <t>ORD0778</t>
  </si>
  <si>
    <t>CUST0778</t>
  </si>
  <si>
    <t>ORD0779</t>
  </si>
  <si>
    <t>CUST0779</t>
  </si>
  <si>
    <t>ORD0780</t>
  </si>
  <si>
    <t>CUST0780</t>
  </si>
  <si>
    <t>ORD0781</t>
  </si>
  <si>
    <t>CUST0781</t>
  </si>
  <si>
    <t>ORD0782</t>
  </si>
  <si>
    <t>CUST0782</t>
  </si>
  <si>
    <t>ORD0783</t>
  </si>
  <si>
    <t>CUST0783</t>
  </si>
  <si>
    <t>ORD0784</t>
  </si>
  <si>
    <t>CUST0784</t>
  </si>
  <si>
    <t>ORD0785</t>
  </si>
  <si>
    <t>CUST0785</t>
  </si>
  <si>
    <t>ORD0786</t>
  </si>
  <si>
    <t>CUST0786</t>
  </si>
  <si>
    <t>ORD0787</t>
  </si>
  <si>
    <t>CUST0787</t>
  </si>
  <si>
    <t>ORD0788</t>
  </si>
  <si>
    <t>CUST0788</t>
  </si>
  <si>
    <t>ORD0789</t>
  </si>
  <si>
    <t>CUST0789</t>
  </si>
  <si>
    <t>ORD0790</t>
  </si>
  <si>
    <t>CUST0790</t>
  </si>
  <si>
    <t>ORD0791</t>
  </si>
  <si>
    <t>CUST0791</t>
  </si>
  <si>
    <t>ORD0792</t>
  </si>
  <si>
    <t>CUST0792</t>
  </si>
  <si>
    <t>ORD0793</t>
  </si>
  <si>
    <t>CUST0793</t>
  </si>
  <si>
    <t>ORD0794</t>
  </si>
  <si>
    <t>CUST0794</t>
  </si>
  <si>
    <t>ORD0795</t>
  </si>
  <si>
    <t>CUST0795</t>
  </si>
  <si>
    <t>ORD0796</t>
  </si>
  <si>
    <t>CUST0796</t>
  </si>
  <si>
    <t>ORD0797</t>
  </si>
  <si>
    <t>CUST0797</t>
  </si>
  <si>
    <t>ORD0798</t>
  </si>
  <si>
    <t>CUST0798</t>
  </si>
  <si>
    <t>ORD0799</t>
  </si>
  <si>
    <t>CUST0799</t>
  </si>
  <si>
    <t>ORD0800</t>
  </si>
  <si>
    <t>CUST0800</t>
  </si>
  <si>
    <t>ORD0801</t>
  </si>
  <si>
    <t>CUST0801</t>
  </si>
  <si>
    <t>ORD0802</t>
  </si>
  <si>
    <t>CUST0802</t>
  </si>
  <si>
    <t>ORD0803</t>
  </si>
  <si>
    <t>CUST0803</t>
  </si>
  <si>
    <t>ORD0804</t>
  </si>
  <si>
    <t>CUST0804</t>
  </si>
  <si>
    <t>ORD0805</t>
  </si>
  <si>
    <t>CUST0805</t>
  </si>
  <si>
    <t>ORD0806</t>
  </si>
  <si>
    <t>CUST0806</t>
  </si>
  <si>
    <t>ORD0807</t>
  </si>
  <si>
    <t>CUST0807</t>
  </si>
  <si>
    <t>ORD0808</t>
  </si>
  <si>
    <t>CUST0808</t>
  </si>
  <si>
    <t>ORD0809</t>
  </si>
  <si>
    <t>CUST0809</t>
  </si>
  <si>
    <t>ORD0810</t>
  </si>
  <si>
    <t>CUST0810</t>
  </si>
  <si>
    <t>ORD0811</t>
  </si>
  <si>
    <t>CUST0811</t>
  </si>
  <si>
    <t>ORD0812</t>
  </si>
  <si>
    <t>CUST0812</t>
  </si>
  <si>
    <t>ORD0813</t>
  </si>
  <si>
    <t>CUST0813</t>
  </si>
  <si>
    <t>ORD0814</t>
  </si>
  <si>
    <t>CUST0814</t>
  </si>
  <si>
    <t>ORD0815</t>
  </si>
  <si>
    <t>CUST0815</t>
  </si>
  <si>
    <t>ORD0816</t>
  </si>
  <si>
    <t>CUST0816</t>
  </si>
  <si>
    <t>ORD0817</t>
  </si>
  <si>
    <t>CUST0817</t>
  </si>
  <si>
    <t>ORD0818</t>
  </si>
  <si>
    <t>CUST0818</t>
  </si>
  <si>
    <t>ORD0819</t>
  </si>
  <si>
    <t>CUST0819</t>
  </si>
  <si>
    <t>ORD0820</t>
  </si>
  <si>
    <t>CUST0820</t>
  </si>
  <si>
    <t>ORD0821</t>
  </si>
  <si>
    <t>CUST0821</t>
  </si>
  <si>
    <t>ORD0822</t>
  </si>
  <si>
    <t>CUST0822</t>
  </si>
  <si>
    <t>ORD0823</t>
  </si>
  <si>
    <t>CUST0823</t>
  </si>
  <si>
    <t>ORD0824</t>
  </si>
  <si>
    <t>CUST0824</t>
  </si>
  <si>
    <t>ORD0825</t>
  </si>
  <si>
    <t>CUST0825</t>
  </si>
  <si>
    <t>ORD0826</t>
  </si>
  <si>
    <t>CUST0826</t>
  </si>
  <si>
    <t>ORD0827</t>
  </si>
  <si>
    <t>CUST0827</t>
  </si>
  <si>
    <t>ORD0828</t>
  </si>
  <si>
    <t>CUST0828</t>
  </si>
  <si>
    <t>ORD0829</t>
  </si>
  <si>
    <t>CUST0829</t>
  </si>
  <si>
    <t>ORD0830</t>
  </si>
  <si>
    <t>CUST0830</t>
  </si>
  <si>
    <t>ORD0831</t>
  </si>
  <si>
    <t>CUST0831</t>
  </si>
  <si>
    <t>ORD0832</t>
  </si>
  <si>
    <t>CUST0832</t>
  </si>
  <si>
    <t>ORD0833</t>
  </si>
  <si>
    <t>CUST0833</t>
  </si>
  <si>
    <t>ORD0834</t>
  </si>
  <si>
    <t>CUST0834</t>
  </si>
  <si>
    <t>ORD0835</t>
  </si>
  <si>
    <t>CUST0835</t>
  </si>
  <si>
    <t>ORD0836</t>
  </si>
  <si>
    <t>CUST0836</t>
  </si>
  <si>
    <t>ORD0837</t>
  </si>
  <si>
    <t>CUST0837</t>
  </si>
  <si>
    <t>ORD0838</t>
  </si>
  <si>
    <t>CUST0838</t>
  </si>
  <si>
    <t>ORD0839</t>
  </si>
  <si>
    <t>CUST0839</t>
  </si>
  <si>
    <t>ORD0840</t>
  </si>
  <si>
    <t>CUST0840</t>
  </si>
  <si>
    <t>ORD0841</t>
  </si>
  <si>
    <t>CUST0841</t>
  </si>
  <si>
    <t>ORD0842</t>
  </si>
  <si>
    <t>CUST0842</t>
  </si>
  <si>
    <t>ORD0843</t>
  </si>
  <si>
    <t>CUST0843</t>
  </si>
  <si>
    <t>ORD0844</t>
  </si>
  <si>
    <t>CUST0844</t>
  </si>
  <si>
    <t>ORD0845</t>
  </si>
  <si>
    <t>CUST0845</t>
  </si>
  <si>
    <t>ORD0846</t>
  </si>
  <si>
    <t>CUST0846</t>
  </si>
  <si>
    <t>ORD0847</t>
  </si>
  <si>
    <t>CUST0847</t>
  </si>
  <si>
    <t>ORD0848</t>
  </si>
  <si>
    <t>CUST0848</t>
  </si>
  <si>
    <t>ORD0849</t>
  </si>
  <si>
    <t>CUST0849</t>
  </si>
  <si>
    <t>ORD0850</t>
  </si>
  <si>
    <t>CUST0850</t>
  </si>
  <si>
    <t>ORD0851</t>
  </si>
  <si>
    <t>CUST0851</t>
  </si>
  <si>
    <t>ORD0852</t>
  </si>
  <si>
    <t>CUST0852</t>
  </si>
  <si>
    <t>ORD0853</t>
  </si>
  <si>
    <t>CUST0853</t>
  </si>
  <si>
    <t>ORD0854</t>
  </si>
  <si>
    <t>CUST0854</t>
  </si>
  <si>
    <t>ORD0855</t>
  </si>
  <si>
    <t>CUST0855</t>
  </si>
  <si>
    <t>ORD0856</t>
  </si>
  <si>
    <t>CUST0856</t>
  </si>
  <si>
    <t>ORD0857</t>
  </si>
  <si>
    <t>CUST0857</t>
  </si>
  <si>
    <t>ORD0858</t>
  </si>
  <si>
    <t>CUST0858</t>
  </si>
  <si>
    <t>ORD0859</t>
  </si>
  <si>
    <t>CUST0859</t>
  </si>
  <si>
    <t>ORD0860</t>
  </si>
  <si>
    <t>CUST0860</t>
  </si>
  <si>
    <t>ORD0861</t>
  </si>
  <si>
    <t>CUST0861</t>
  </si>
  <si>
    <t>ORD0862</t>
  </si>
  <si>
    <t>CUST0862</t>
  </si>
  <si>
    <t>ORD0863</t>
  </si>
  <si>
    <t>CUST0863</t>
  </si>
  <si>
    <t>ORD0864</t>
  </si>
  <si>
    <t>CUST0864</t>
  </si>
  <si>
    <t>ORD0865</t>
  </si>
  <si>
    <t>CUST0865</t>
  </si>
  <si>
    <t>ORD0866</t>
  </si>
  <si>
    <t>CUST0866</t>
  </si>
  <si>
    <t>ORD0867</t>
  </si>
  <si>
    <t>CUST0867</t>
  </si>
  <si>
    <t>ORD0868</t>
  </si>
  <si>
    <t>CUST0868</t>
  </si>
  <si>
    <t>ORD0869</t>
  </si>
  <si>
    <t>CUST0869</t>
  </si>
  <si>
    <t>ORD0870</t>
  </si>
  <si>
    <t>CUST0870</t>
  </si>
  <si>
    <t>ORD0871</t>
  </si>
  <si>
    <t>CUST0871</t>
  </si>
  <si>
    <t>ORD0872</t>
  </si>
  <si>
    <t>CUST0872</t>
  </si>
  <si>
    <t>ORD0873</t>
  </si>
  <si>
    <t>CUST0873</t>
  </si>
  <si>
    <t>ORD0874</t>
  </si>
  <si>
    <t>CUST0874</t>
  </si>
  <si>
    <t>ORD0875</t>
  </si>
  <si>
    <t>CUST0875</t>
  </si>
  <si>
    <t>ORD0876</t>
  </si>
  <si>
    <t>CUST0876</t>
  </si>
  <si>
    <t>ORD0877</t>
  </si>
  <si>
    <t>CUST0877</t>
  </si>
  <si>
    <t>ORD0878</t>
  </si>
  <si>
    <t>CUST0878</t>
  </si>
  <si>
    <t>ORD0879</t>
  </si>
  <si>
    <t>CUST0879</t>
  </si>
  <si>
    <t>ORD0880</t>
  </si>
  <si>
    <t>CUST0880</t>
  </si>
  <si>
    <t>ORD0881</t>
  </si>
  <si>
    <t>CUST0881</t>
  </si>
  <si>
    <t>ORD0882</t>
  </si>
  <si>
    <t>CUST0882</t>
  </si>
  <si>
    <t>ORD0883</t>
  </si>
  <si>
    <t>CUST0883</t>
  </si>
  <si>
    <t>ORD0884</t>
  </si>
  <si>
    <t>CUST0884</t>
  </si>
  <si>
    <t>ORD0885</t>
  </si>
  <si>
    <t>CUST0885</t>
  </si>
  <si>
    <t>ORD0886</t>
  </si>
  <si>
    <t>CUST0886</t>
  </si>
  <si>
    <t>ORD0887</t>
  </si>
  <si>
    <t>CUST0887</t>
  </si>
  <si>
    <t>ORD0888</t>
  </si>
  <si>
    <t>CUST0888</t>
  </si>
  <si>
    <t>ORD0889</t>
  </si>
  <si>
    <t>CUST0889</t>
  </si>
  <si>
    <t>ORD0890</t>
  </si>
  <si>
    <t>CUST0890</t>
  </si>
  <si>
    <t>ORD0891</t>
  </si>
  <si>
    <t>CUST0891</t>
  </si>
  <si>
    <t>ORD0892</t>
  </si>
  <si>
    <t>CUST0892</t>
  </si>
  <si>
    <t>ORD0893</t>
  </si>
  <si>
    <t>CUST0893</t>
  </si>
  <si>
    <t>ORD0894</t>
  </si>
  <si>
    <t>CUST0894</t>
  </si>
  <si>
    <t>ORD0895</t>
  </si>
  <si>
    <t>CUST0895</t>
  </si>
  <si>
    <t>ORD0896</t>
  </si>
  <si>
    <t>CUST0896</t>
  </si>
  <si>
    <t>ORD0897</t>
  </si>
  <si>
    <t>CUST0897</t>
  </si>
  <si>
    <t>ORD0898</t>
  </si>
  <si>
    <t>CUST0898</t>
  </si>
  <si>
    <t>ORD0899</t>
  </si>
  <si>
    <t>CUST0899</t>
  </si>
  <si>
    <t>ORD0900</t>
  </si>
  <si>
    <t>CUST0900</t>
  </si>
  <si>
    <t>ORD0901</t>
  </si>
  <si>
    <t>CUST0901</t>
  </si>
  <si>
    <t>ORD0902</t>
  </si>
  <si>
    <t>CUST0902</t>
  </si>
  <si>
    <t>ORD0903</t>
  </si>
  <si>
    <t>CUST0903</t>
  </si>
  <si>
    <t>ORD0904</t>
  </si>
  <si>
    <t>CUST0904</t>
  </si>
  <si>
    <t>ORD0905</t>
  </si>
  <si>
    <t>CUST0905</t>
  </si>
  <si>
    <t>ORD0906</t>
  </si>
  <si>
    <t>CUST0906</t>
  </si>
  <si>
    <t>ORD0907</t>
  </si>
  <si>
    <t>CUST0907</t>
  </si>
  <si>
    <t>ORD0908</t>
  </si>
  <si>
    <t>CUST0908</t>
  </si>
  <si>
    <t>ORD0909</t>
  </si>
  <si>
    <t>CUST0909</t>
  </si>
  <si>
    <t>ORD0910</t>
  </si>
  <si>
    <t>CUST0910</t>
  </si>
  <si>
    <t>ORD0911</t>
  </si>
  <si>
    <t>CUST0911</t>
  </si>
  <si>
    <t>ORD0912</t>
  </si>
  <si>
    <t>CUST0912</t>
  </si>
  <si>
    <t>ORD0913</t>
  </si>
  <si>
    <t>CUST0913</t>
  </si>
  <si>
    <t>ORD0914</t>
  </si>
  <si>
    <t>CUST0914</t>
  </si>
  <si>
    <t>ORD0915</t>
  </si>
  <si>
    <t>CUST0915</t>
  </si>
  <si>
    <t>ORD0916</t>
  </si>
  <si>
    <t>CUST0916</t>
  </si>
  <si>
    <t>ORD0917</t>
  </si>
  <si>
    <t>CUST0917</t>
  </si>
  <si>
    <t>ORD0918</t>
  </si>
  <si>
    <t>CUST0918</t>
  </si>
  <si>
    <t>ORD0919</t>
  </si>
  <si>
    <t>CUST0919</t>
  </si>
  <si>
    <t>ORD0920</t>
  </si>
  <si>
    <t>CUST0920</t>
  </si>
  <si>
    <t>ORD0921</t>
  </si>
  <si>
    <t>CUST0921</t>
  </si>
  <si>
    <t>ORD0922</t>
  </si>
  <si>
    <t>CUST0922</t>
  </si>
  <si>
    <t>ORD0923</t>
  </si>
  <si>
    <t>CUST0923</t>
  </si>
  <si>
    <t>ORD0924</t>
  </si>
  <si>
    <t>CUST0924</t>
  </si>
  <si>
    <t>ORD0925</t>
  </si>
  <si>
    <t>CUST0925</t>
  </si>
  <si>
    <t>ORD0926</t>
  </si>
  <si>
    <t>CUST0926</t>
  </si>
  <si>
    <t>ORD0927</t>
  </si>
  <si>
    <t>CUST0927</t>
  </si>
  <si>
    <t>ORD0928</t>
  </si>
  <si>
    <t>CUST0928</t>
  </si>
  <si>
    <t>ORD0929</t>
  </si>
  <si>
    <t>CUST0929</t>
  </si>
  <si>
    <t>ORD0930</t>
  </si>
  <si>
    <t>CUST0930</t>
  </si>
  <si>
    <t>ORD0931</t>
  </si>
  <si>
    <t>CUST0931</t>
  </si>
  <si>
    <t>ORD0932</t>
  </si>
  <si>
    <t>CUST0932</t>
  </si>
  <si>
    <t>ORD0933</t>
  </si>
  <si>
    <t>CUST0933</t>
  </si>
  <si>
    <t>ORD0934</t>
  </si>
  <si>
    <t>CUST0934</t>
  </si>
  <si>
    <t>ORD0935</t>
  </si>
  <si>
    <t>CUST0935</t>
  </si>
  <si>
    <t>ORD0936</t>
  </si>
  <si>
    <t>CUST0936</t>
  </si>
  <si>
    <t>ORD0937</t>
  </si>
  <si>
    <t>CUST0937</t>
  </si>
  <si>
    <t>ORD0938</t>
  </si>
  <si>
    <t>CUST0938</t>
  </si>
  <si>
    <t>ORD0939</t>
  </si>
  <si>
    <t>CUST0939</t>
  </si>
  <si>
    <t>ORD0940</t>
  </si>
  <si>
    <t>CUST0940</t>
  </si>
  <si>
    <t>ORD0941</t>
  </si>
  <si>
    <t>CUST0941</t>
  </si>
  <si>
    <t>ORD0942</t>
  </si>
  <si>
    <t>CUST0942</t>
  </si>
  <si>
    <t>ORD0943</t>
  </si>
  <si>
    <t>CUST0943</t>
  </si>
  <si>
    <t>ORD0944</t>
  </si>
  <si>
    <t>CUST0944</t>
  </si>
  <si>
    <t>ORD0945</t>
  </si>
  <si>
    <t>CUST0945</t>
  </si>
  <si>
    <t>ORD0946</t>
  </si>
  <si>
    <t>CUST0946</t>
  </si>
  <si>
    <t>ORD0947</t>
  </si>
  <si>
    <t>CUST0947</t>
  </si>
  <si>
    <t>ORD0948</t>
  </si>
  <si>
    <t>CUST0948</t>
  </si>
  <si>
    <t>ORD0949</t>
  </si>
  <si>
    <t>CUST0949</t>
  </si>
  <si>
    <t>ORD0950</t>
  </si>
  <si>
    <t>CUST0950</t>
  </si>
  <si>
    <t>ORD0951</t>
  </si>
  <si>
    <t>CUST0951</t>
  </si>
  <si>
    <t>ORD0952</t>
  </si>
  <si>
    <t>CUST0952</t>
  </si>
  <si>
    <t>ORD0953</t>
  </si>
  <si>
    <t>CUST0953</t>
  </si>
  <si>
    <t>ORD0954</t>
  </si>
  <si>
    <t>CUST0954</t>
  </si>
  <si>
    <t>ORD0955</t>
  </si>
  <si>
    <t>CUST0955</t>
  </si>
  <si>
    <t>ORD0956</t>
  </si>
  <si>
    <t>CUST0956</t>
  </si>
  <si>
    <t>ORD0957</t>
  </si>
  <si>
    <t>CUST0957</t>
  </si>
  <si>
    <t>ORD0958</t>
  </si>
  <si>
    <t>CUST0958</t>
  </si>
  <si>
    <t>ORD0959</t>
  </si>
  <si>
    <t>CUST0959</t>
  </si>
  <si>
    <t>ORD0960</t>
  </si>
  <si>
    <t>CUST0960</t>
  </si>
  <si>
    <t>ORD0961</t>
  </si>
  <si>
    <t>CUST0961</t>
  </si>
  <si>
    <t>ORD0962</t>
  </si>
  <si>
    <t>CUST0962</t>
  </si>
  <si>
    <t>ORD0963</t>
  </si>
  <si>
    <t>CUST0963</t>
  </si>
  <si>
    <t>ORD0964</t>
  </si>
  <si>
    <t>CUST0964</t>
  </si>
  <si>
    <t>ORD0965</t>
  </si>
  <si>
    <t>CUST0965</t>
  </si>
  <si>
    <t>ORD0966</t>
  </si>
  <si>
    <t>CUST0966</t>
  </si>
  <si>
    <t>ORD0967</t>
  </si>
  <si>
    <t>CUST0967</t>
  </si>
  <si>
    <t>ORD0968</t>
  </si>
  <si>
    <t>CUST0968</t>
  </si>
  <si>
    <t>ORD0969</t>
  </si>
  <si>
    <t>CUST0969</t>
  </si>
  <si>
    <t>ORD0970</t>
  </si>
  <si>
    <t>CUST0970</t>
  </si>
  <si>
    <t>ORD0971</t>
  </si>
  <si>
    <t>CUST0971</t>
  </si>
  <si>
    <t>ORD0972</t>
  </si>
  <si>
    <t>CUST0972</t>
  </si>
  <si>
    <t>ORD0973</t>
  </si>
  <si>
    <t>CUST0973</t>
  </si>
  <si>
    <t>ORD0974</t>
  </si>
  <si>
    <t>CUST0974</t>
  </si>
  <si>
    <t>ORD0975</t>
  </si>
  <si>
    <t>CUST0975</t>
  </si>
  <si>
    <t>ORD0976</t>
  </si>
  <si>
    <t>CUST0976</t>
  </si>
  <si>
    <t>ORD0977</t>
  </si>
  <si>
    <t>CUST0977</t>
  </si>
  <si>
    <t>ORD0978</t>
  </si>
  <si>
    <t>CUST0978</t>
  </si>
  <si>
    <t>ORD0979</t>
  </si>
  <si>
    <t>CUST0979</t>
  </si>
  <si>
    <t>ORD0980</t>
  </si>
  <si>
    <t>CUST0980</t>
  </si>
  <si>
    <t>ORD0981</t>
  </si>
  <si>
    <t>CUST0981</t>
  </si>
  <si>
    <t>ORD0982</t>
  </si>
  <si>
    <t>CUST0982</t>
  </si>
  <si>
    <t>ORD0983</t>
  </si>
  <si>
    <t>CUST0983</t>
  </si>
  <si>
    <t>ORD0984</t>
  </si>
  <si>
    <t>CUST0984</t>
  </si>
  <si>
    <t>ORD0985</t>
  </si>
  <si>
    <t>CUST0985</t>
  </si>
  <si>
    <t>ORD0986</t>
  </si>
  <si>
    <t>CUST0986</t>
  </si>
  <si>
    <t>ORD0987</t>
  </si>
  <si>
    <t>CUST0987</t>
  </si>
  <si>
    <t>ORD0988</t>
  </si>
  <si>
    <t>CUST0988</t>
  </si>
  <si>
    <t>ORD0989</t>
  </si>
  <si>
    <t>CUST0989</t>
  </si>
  <si>
    <t>ORD0990</t>
  </si>
  <si>
    <t>CUST0990</t>
  </si>
  <si>
    <t>ORD0991</t>
  </si>
  <si>
    <t>CUST0991</t>
  </si>
  <si>
    <t>ORD0992</t>
  </si>
  <si>
    <t>CUST0992</t>
  </si>
  <si>
    <t>ORD0993</t>
  </si>
  <si>
    <t>CUST0993</t>
  </si>
  <si>
    <t>ORD0994</t>
  </si>
  <si>
    <t>CUST0994</t>
  </si>
  <si>
    <t>ORD0995</t>
  </si>
  <si>
    <t>CUST0995</t>
  </si>
  <si>
    <t>ORD0996</t>
  </si>
  <si>
    <t>CUST0996</t>
  </si>
  <si>
    <t>ORD0997</t>
  </si>
  <si>
    <t>CUST0997</t>
  </si>
  <si>
    <t>ORD0998</t>
  </si>
  <si>
    <t>CUST0998</t>
  </si>
  <si>
    <t>ORD0999</t>
  </si>
  <si>
    <t>CUST0999</t>
  </si>
  <si>
    <t>ORD1000</t>
  </si>
  <si>
    <t>CUST1000</t>
  </si>
  <si>
    <t>Grand Total</t>
  </si>
  <si>
    <t>Category</t>
  </si>
  <si>
    <t>Total Sales</t>
  </si>
  <si>
    <t>Profit Margin</t>
  </si>
  <si>
    <t xml:space="preserve">Profit margin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</si>
</sst>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7" formatCode="_ * #,##0_ ;_ * \-#,##0_ ;_ * &quot;-&quot;??_ ;_ @_ "/>
    <numFmt numFmtId="172" formatCode="0.0%"/>
  </numFmts>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0" tint="-4.9989318521683403E-2"/>
        <bgColor indexed="64"/>
      </patternFill>
    </fill>
    <fill>
      <patternFill patternType="solid">
        <fgColor theme="0"/>
        <bgColor indexed="64"/>
      </patternFill>
    </fill>
  </fills>
  <borders count="11">
    <border>
      <left/>
      <right/>
      <top/>
      <bottom/>
      <diagonal/>
    </border>
    <border>
      <left style="thin">
        <color theme="4"/>
      </left>
      <right style="thin">
        <color theme="4"/>
      </right>
      <top style="thin">
        <color theme="4"/>
      </top>
      <bottom style="thin">
        <color theme="4"/>
      </bottom>
      <diagonal/>
    </border>
    <border>
      <left style="thin">
        <color theme="4"/>
      </left>
      <right/>
      <top style="thin">
        <color theme="4"/>
      </top>
      <bottom/>
      <diagonal/>
    </border>
    <border>
      <left style="thin">
        <color theme="4"/>
      </left>
      <right style="thin">
        <color theme="4"/>
      </right>
      <top style="thin">
        <color theme="4"/>
      </top>
      <bottom/>
      <diagonal/>
    </border>
    <border>
      <left style="thin">
        <color theme="4"/>
      </left>
      <right/>
      <top style="medium">
        <color theme="4"/>
      </top>
      <bottom/>
      <diagonal/>
    </border>
    <border>
      <left style="thin">
        <color theme="4"/>
      </left>
      <right style="thin">
        <color theme="4"/>
      </right>
      <top style="medium">
        <color theme="4"/>
      </top>
      <bottom/>
      <diagonal/>
    </border>
    <border>
      <left style="thin">
        <color theme="4"/>
      </left>
      <right/>
      <top style="thin">
        <color theme="4"/>
      </top>
      <bottom style="thin">
        <color theme="4"/>
      </bottom>
      <diagonal/>
    </border>
    <border>
      <left style="thin">
        <color theme="4"/>
      </left>
      <right style="thin">
        <color theme="4"/>
      </right>
      <top/>
      <bottom/>
      <diagonal/>
    </border>
    <border>
      <left/>
      <right/>
      <top style="thin">
        <color theme="4"/>
      </top>
      <bottom/>
      <diagonal/>
    </border>
    <border>
      <left/>
      <right/>
      <top style="medium">
        <color theme="4"/>
      </top>
      <bottom/>
      <diagonal/>
    </border>
    <border>
      <left/>
      <right/>
      <top style="thin">
        <color theme="4"/>
      </top>
      <bottom style="thin">
        <color theme="4"/>
      </bottom>
      <diagonal/>
    </border>
  </borders>
  <cellStyleXfs count="1">
    <xf numFmtId="0" fontId="0" fillId="0" borderId="0"/>
  </cellStyleXfs>
  <cellXfs count="28">
    <xf numFmtId="0" fontId="0" fillId="0" borderId="0" xfId="0"/>
    <xf numFmtId="0" fontId="0" fillId="0" borderId="0" xfId="0" applyAlignment="1">
      <alignment horizont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0" fillId="2" borderId="4" xfId="0" applyFont="1" applyFill="1" applyBorder="1" applyAlignment="1">
      <alignment horizontal="center" vertical="center"/>
    </xf>
    <xf numFmtId="164" fontId="0" fillId="2" borderId="4" xfId="0" applyNumberFormat="1" applyFont="1" applyFill="1" applyBorder="1" applyAlignment="1">
      <alignment horizontal="center" vertical="center"/>
    </xf>
    <xf numFmtId="0" fontId="0" fillId="2" borderId="5" xfId="0" applyFont="1" applyFill="1" applyBorder="1" applyAlignment="1">
      <alignment horizontal="center" vertical="center"/>
    </xf>
    <xf numFmtId="0" fontId="0" fillId="0" borderId="2" xfId="0" applyFont="1" applyBorder="1" applyAlignment="1">
      <alignment horizontal="center" vertical="center"/>
    </xf>
    <xf numFmtId="164" fontId="0" fillId="0" borderId="2" xfId="0" applyNumberFormat="1" applyFont="1" applyBorder="1" applyAlignment="1">
      <alignment horizontal="center" vertical="center"/>
    </xf>
    <xf numFmtId="0" fontId="0" fillId="0" borderId="3" xfId="0" applyFont="1" applyBorder="1" applyAlignment="1">
      <alignment horizontal="center" vertical="center"/>
    </xf>
    <xf numFmtId="0" fontId="0" fillId="2" borderId="2" xfId="0" applyFont="1" applyFill="1" applyBorder="1" applyAlignment="1">
      <alignment horizontal="center" vertical="center"/>
    </xf>
    <xf numFmtId="164" fontId="0" fillId="2" borderId="2" xfId="0" applyNumberFormat="1" applyFont="1" applyFill="1" applyBorder="1" applyAlignment="1">
      <alignment horizontal="center" vertical="center"/>
    </xf>
    <xf numFmtId="0" fontId="0" fillId="2" borderId="3" xfId="0" applyFont="1" applyFill="1" applyBorder="1" applyAlignment="1">
      <alignment horizontal="center" vertical="center"/>
    </xf>
    <xf numFmtId="0" fontId="0" fillId="0" borderId="6" xfId="0" applyFont="1" applyBorder="1" applyAlignment="1">
      <alignment horizontal="center" vertical="center"/>
    </xf>
    <xf numFmtId="164" fontId="0" fillId="0" borderId="6" xfId="0" applyNumberFormat="1" applyFont="1" applyBorder="1" applyAlignment="1">
      <alignment horizontal="center" vertical="center"/>
    </xf>
    <xf numFmtId="0" fontId="0" fillId="0" borderId="1" xfId="0" applyFont="1" applyBorder="1" applyAlignment="1">
      <alignment horizontal="center" vertical="center"/>
    </xf>
    <xf numFmtId="0" fontId="1" fillId="0" borderId="7" xfId="0" applyFont="1" applyFill="1" applyBorder="1" applyAlignment="1">
      <alignment horizontal="center" vertical="center"/>
    </xf>
    <xf numFmtId="9" fontId="0" fillId="0" borderId="0" xfId="0" applyNumberFormat="1" applyAlignment="1">
      <alignment horizontal="center"/>
    </xf>
    <xf numFmtId="0" fontId="1" fillId="0" borderId="8" xfId="0" applyFont="1" applyBorder="1" applyAlignment="1">
      <alignment horizontal="center" vertical="center"/>
    </xf>
    <xf numFmtId="0" fontId="0" fillId="2" borderId="9" xfId="0" applyFont="1" applyFill="1" applyBorder="1" applyAlignment="1">
      <alignment horizontal="center" vertical="center"/>
    </xf>
    <xf numFmtId="0" fontId="0" fillId="0" borderId="8" xfId="0" applyFont="1" applyBorder="1" applyAlignment="1">
      <alignment horizontal="center" vertical="center"/>
    </xf>
    <xf numFmtId="0" fontId="0" fillId="2" borderId="8" xfId="0" applyFont="1" applyFill="1" applyBorder="1" applyAlignment="1">
      <alignment horizontal="center" vertical="center"/>
    </xf>
    <xf numFmtId="0" fontId="0" fillId="0" borderId="10" xfId="0" applyFont="1" applyBorder="1" applyAlignment="1">
      <alignment horizontal="center" vertical="center"/>
    </xf>
    <xf numFmtId="0" fontId="0" fillId="3" borderId="0" xfId="0" applyFill="1"/>
    <xf numFmtId="0" fontId="0" fillId="3" borderId="0" xfId="0" applyFill="1" applyAlignment="1">
      <alignment horizontal="center"/>
    </xf>
    <xf numFmtId="167" fontId="0" fillId="3" borderId="0" xfId="0" applyNumberFormat="1" applyFill="1" applyAlignment="1">
      <alignment horizontal="center" vertical="center"/>
    </xf>
    <xf numFmtId="172" fontId="0" fillId="3" borderId="0" xfId="0" applyNumberFormat="1" applyFill="1" applyAlignment="1">
      <alignment horizontal="center"/>
    </xf>
    <xf numFmtId="0" fontId="0" fillId="4" borderId="0" xfId="0" applyFill="1"/>
  </cellXfs>
  <cellStyles count="1">
    <cellStyle name="Normal" xfId="0" builtinId="0"/>
  </cellStyles>
  <dxfs count="459">
    <dxf>
      <numFmt numFmtId="167" formatCode="_ * #,##0_ ;_ * \-#,##0_ ;_ * &quot;-&quot;??_ ;_ @_ "/>
    </dxf>
    <dxf>
      <alignment horizontal="center"/>
    </dxf>
    <dxf>
      <alignment horizontal="center"/>
    </dxf>
    <dxf>
      <alignment horizontal="center"/>
    </dxf>
    <dxf>
      <alignment horizontal="center"/>
    </dxf>
    <dxf>
      <alignment vertical="center"/>
    </dxf>
    <dxf>
      <alignment horizontal="center"/>
    </dxf>
    <dxf>
      <numFmt numFmtId="167" formatCode="_ * #,##0_ ;_ * \-#,##0_ ;_ * &quot;-&quot;??_ ;_ @_ "/>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numFmt numFmtId="167" formatCode="_ * #,##0_ ;_ * \-#,##0_ ;_ * &quot;-&quot;??_ ;_ @_ "/>
    </dxf>
    <dxf>
      <alignment horizontal="center"/>
    </dxf>
    <dxf>
      <alignment horizontal="center"/>
    </dxf>
    <dxf>
      <alignment horizontal="center"/>
    </dxf>
    <dxf>
      <alignment horizontal="center"/>
    </dxf>
    <dxf>
      <alignment vertical="center"/>
    </dxf>
    <dxf>
      <alignment horizontal="center"/>
    </dxf>
    <dxf>
      <numFmt numFmtId="167" formatCode="_ * #,##0_ ;_ * \-#,##0_ ;_ * &quot;-&quot;??_ ;_ @_ "/>
    </dxf>
    <dxf>
      <fill>
        <patternFill patternType="solid">
          <bgColor theme="9" tint="0.79998168889431442"/>
        </patternFill>
      </fill>
    </dxf>
    <dxf>
      <fill>
        <patternFill patternType="solid">
          <bgColor theme="9"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alignment horizontal="center"/>
    </dxf>
    <dxf>
      <alignment horizontal="center"/>
    </dxf>
    <dxf>
      <alignment horizontal="center"/>
    </dxf>
    <dxf>
      <alignment horizontal="center"/>
    </dxf>
    <dxf>
      <alignment horizontal="center"/>
    </dxf>
    <dxf>
      <alignment vertical="center"/>
    </dxf>
    <dxf>
      <alignment horizontal="cent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numFmt numFmtId="167" formatCode="_ * #,##0_ ;_ * \-#,##0_ ;_ * &quot;-&quot;??_ ;_ @_ "/>
    </dxf>
    <dxf>
      <alignment horizontal="center"/>
    </dxf>
    <dxf>
      <alignment horizontal="center"/>
    </dxf>
    <dxf>
      <alignment horizontal="center"/>
    </dxf>
    <dxf>
      <alignment horizontal="center"/>
    </dxf>
    <dxf>
      <alignment vertical="center"/>
    </dxf>
    <dxf>
      <alignment horizontal="center"/>
    </dxf>
    <dxf>
      <numFmt numFmtId="167" formatCode="_ * #,##0_ ;_ * \-#,##0_ ;_ * &quot;-&quot;??_ ;_ @_ "/>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alignment horizontal="center"/>
    </dxf>
    <dxf>
      <alignment horizontal="center"/>
    </dxf>
    <dxf>
      <alignment horizontal="center"/>
    </dxf>
    <dxf>
      <alignment horizontal="center"/>
    </dxf>
    <dxf>
      <alignment horizontal="center"/>
    </dxf>
    <dxf>
      <alignment vertical="center"/>
    </dxf>
    <dxf>
      <alignment horizontal="cent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numFmt numFmtId="167" formatCode="_ * #,##0_ ;_ * \-#,##0_ ;_ * &quot;-&quot;??_ ;_ @_ "/>
    </dxf>
    <dxf>
      <alignment horizontal="center"/>
    </dxf>
    <dxf>
      <alignment horizontal="center"/>
    </dxf>
    <dxf>
      <alignment horizontal="center"/>
    </dxf>
    <dxf>
      <alignment horizontal="center"/>
    </dxf>
    <dxf>
      <alignment vertical="center"/>
    </dxf>
    <dxf>
      <alignment horizontal="center"/>
    </dxf>
    <dxf>
      <numFmt numFmtId="167" formatCode="_ * #,##0_ ;_ * \-#,##0_ ;_ * &quot;-&quot;??_ ;_ @_ "/>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numFmt numFmtId="167" formatCode="_ * #,##0_ ;_ * \-#,##0_ ;_ * &quot;-&quot;??_ ;_ @_ "/>
    </dxf>
    <dxf>
      <alignment horizontal="center"/>
    </dxf>
    <dxf>
      <alignment horizontal="center"/>
    </dxf>
    <dxf>
      <alignment horizontal="center"/>
    </dxf>
    <dxf>
      <alignment horizontal="center"/>
    </dxf>
    <dxf>
      <alignment vertical="center"/>
    </dxf>
    <dxf>
      <alignment horizontal="center"/>
    </dxf>
    <dxf>
      <numFmt numFmtId="167" formatCode="_ * #,##0_ ;_ * \-#,##0_ ;_ * &quot;-&quot;??_ ;_ @_ "/>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alignment horizontal="center"/>
    </dxf>
    <dxf>
      <alignment horizontal="center"/>
    </dxf>
    <dxf>
      <alignment horizontal="center"/>
    </dxf>
    <dxf>
      <alignment horizontal="center"/>
    </dxf>
    <dxf>
      <alignment horizontal="center"/>
    </dxf>
    <dxf>
      <alignment vertical="center"/>
    </dxf>
    <dxf>
      <alignment horizontal="cent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alignment horizontal="center"/>
    </dxf>
    <dxf>
      <alignment horizontal="center"/>
    </dxf>
    <dxf>
      <alignment horizontal="center"/>
    </dxf>
    <dxf>
      <alignment horizontal="center"/>
    </dxf>
    <dxf>
      <alignment horizontal="center"/>
    </dxf>
    <dxf>
      <alignment vertical="center"/>
    </dxf>
    <dxf>
      <alignment horizontal="cent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alignment horizontal="center"/>
    </dxf>
    <dxf>
      <alignment horizontal="center"/>
    </dxf>
    <dxf>
      <alignment horizontal="center"/>
    </dxf>
    <dxf>
      <alignment horizontal="center"/>
    </dxf>
    <dxf>
      <alignment horizontal="center"/>
    </dxf>
    <dxf>
      <alignment vertical="center"/>
    </dxf>
    <dxf>
      <alignment horizontal="cent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alignment horizontal="center"/>
    </dxf>
    <dxf>
      <alignment horizontal="center"/>
    </dxf>
    <dxf>
      <alignment horizontal="center"/>
    </dxf>
    <dxf>
      <alignment horizontal="center"/>
    </dxf>
    <dxf>
      <alignment horizontal="center"/>
    </dxf>
    <dxf>
      <alignment vertical="center"/>
    </dxf>
    <dxf>
      <alignment horizontal="cent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numFmt numFmtId="167" formatCode="_ * #,##0_ ;_ * \-#,##0_ ;_ * &quot;-&quot;??_ ;_ @_ "/>
    </dxf>
    <dxf>
      <alignment horizontal="center"/>
    </dxf>
    <dxf>
      <alignment horizontal="center"/>
    </dxf>
    <dxf>
      <alignment horizontal="center"/>
    </dxf>
    <dxf>
      <alignment horizontal="center"/>
    </dxf>
    <dxf>
      <alignment vertical="center"/>
    </dxf>
    <dxf>
      <alignment horizontal="center"/>
    </dxf>
    <dxf>
      <numFmt numFmtId="167" formatCode="_ * #,##0_ ;_ * \-#,##0_ ;_ * &quot;-&quot;??_ ;_ @_ "/>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numFmt numFmtId="167" formatCode="_ * #,##0_ ;_ * \-#,##0_ ;_ * &quot;-&quot;??_ ;_ @_ "/>
    </dxf>
    <dxf>
      <alignment horizontal="center"/>
    </dxf>
    <dxf>
      <alignment horizontal="center"/>
    </dxf>
    <dxf>
      <alignment horizontal="center"/>
    </dxf>
    <dxf>
      <alignment horizontal="center"/>
    </dxf>
    <dxf>
      <alignment vertical="center"/>
    </dxf>
    <dxf>
      <alignment horizontal="center"/>
    </dxf>
    <dxf>
      <numFmt numFmtId="167" formatCode="_ * #,##0_ ;_ * \-#,##0_ ;_ * &quot;-&quot;??_ ;_ @_ "/>
    </dxf>
    <dxf>
      <fill>
        <patternFill patternType="solid">
          <bgColor theme="9" tint="0.79998168889431442"/>
        </patternFill>
      </fill>
    </dxf>
    <dxf>
      <fill>
        <patternFill patternType="solid">
          <bgColor theme="9"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alignment horizontal="center"/>
    </dxf>
    <dxf>
      <alignment horizontal="center"/>
    </dxf>
    <dxf>
      <alignment horizontal="center"/>
    </dxf>
    <dxf>
      <alignment horizontal="center"/>
    </dxf>
    <dxf>
      <alignment horizontal="center"/>
    </dxf>
    <dxf>
      <alignment vertical="center"/>
    </dxf>
    <dxf>
      <alignment horizontal="cent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numFmt numFmtId="167" formatCode="_ * #,##0_ ;_ * \-#,##0_ ;_ * &quot;-&quot;??_ ;_ @_ "/>
    </dxf>
    <dxf>
      <alignment horizontal="center"/>
    </dxf>
    <dxf>
      <alignment horizontal="center"/>
    </dxf>
    <dxf>
      <alignment horizontal="center"/>
    </dxf>
    <dxf>
      <alignment horizontal="center"/>
    </dxf>
    <dxf>
      <alignment vertical="center"/>
    </dxf>
    <dxf>
      <alignment horizontal="center"/>
    </dxf>
    <dxf>
      <numFmt numFmtId="167" formatCode="_ * #,##0_ ;_ * \-#,##0_ ;_ * &quot;-&quot;??_ ;_ @_ "/>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numFmt numFmtId="167" formatCode="_ * #,##0_ ;_ * \-#,##0_ ;_ * &quot;-&quot;??_ ;_ @_ "/>
    </dxf>
    <dxf>
      <alignment horizontal="center"/>
    </dxf>
    <dxf>
      <alignment horizontal="center"/>
    </dxf>
    <dxf>
      <alignment horizontal="center"/>
    </dxf>
    <dxf>
      <alignment horizontal="center"/>
    </dxf>
    <dxf>
      <alignment vertical="center"/>
    </dxf>
    <dxf>
      <alignment horizontal="center"/>
    </dxf>
    <dxf>
      <numFmt numFmtId="167" formatCode="_ * #,##0_ ;_ * \-#,##0_ ;_ * &quot;-&quot;??_ ;_ @_ "/>
    </dxf>
    <dxf>
      <fill>
        <patternFill patternType="solid">
          <bgColor theme="9" tint="0.79998168889431442"/>
        </patternFill>
      </fill>
    </dxf>
    <dxf>
      <fill>
        <patternFill patternType="solid">
          <bgColor theme="9"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alignment horizontal="center"/>
    </dxf>
    <dxf>
      <alignment horizontal="center"/>
    </dxf>
    <dxf>
      <alignment horizontal="center"/>
    </dxf>
    <dxf>
      <alignment horizontal="center"/>
    </dxf>
    <dxf>
      <alignment horizontal="center"/>
    </dxf>
    <dxf>
      <alignment vertical="center"/>
    </dxf>
    <dxf>
      <alignment horizontal="cent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alignment horizontal="center"/>
    </dxf>
    <dxf>
      <alignment horizontal="center"/>
    </dxf>
    <dxf>
      <alignment horizontal="center"/>
    </dxf>
    <dxf>
      <alignment horizontal="center"/>
    </dxf>
    <dxf>
      <alignment horizontal="center"/>
    </dxf>
    <dxf>
      <alignment vertical="center"/>
    </dxf>
    <dxf>
      <alignment horizontal="cent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numFmt numFmtId="167" formatCode="_ * #,##0_ ;_ * \-#,##0_ ;_ * &quot;-&quot;??_ ;_ @_ "/>
    </dxf>
    <dxf>
      <alignment horizontal="center"/>
    </dxf>
    <dxf>
      <alignment horizontal="center"/>
    </dxf>
    <dxf>
      <alignment horizontal="center"/>
    </dxf>
    <dxf>
      <alignment horizontal="center"/>
    </dxf>
    <dxf>
      <alignment vertical="center"/>
    </dxf>
    <dxf>
      <alignment horizontal="center"/>
    </dxf>
    <dxf>
      <numFmt numFmtId="167" formatCode="_ * #,##0_ ;_ * \-#,##0_ ;_ * &quot;-&quot;??_ ;_ @_ "/>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numFmt numFmtId="167" formatCode="_ * #,##0_ ;_ * \-#,##0_ ;_ * &quot;-&quot;??_ ;_ @_ "/>
    </dxf>
    <dxf>
      <alignment horizontal="center"/>
    </dxf>
    <dxf>
      <alignment horizontal="center"/>
    </dxf>
    <dxf>
      <alignment horizontal="center"/>
    </dxf>
    <dxf>
      <alignment horizontal="center"/>
    </dxf>
    <dxf>
      <alignment vertical="center"/>
    </dxf>
    <dxf>
      <alignment horizontal="center"/>
    </dxf>
    <dxf>
      <numFmt numFmtId="167" formatCode="_ * #,##0_ ;_ * \-#,##0_ ;_ * &quot;-&quot;??_ ;_ @_ "/>
    </dxf>
    <dxf>
      <fill>
        <patternFill patternType="solid">
          <bgColor theme="9" tint="0.79998168889431442"/>
        </patternFill>
      </fill>
    </dxf>
    <dxf>
      <fill>
        <patternFill patternType="solid">
          <bgColor theme="9"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numFmt numFmtId="167" formatCode="_ * #,##0_ ;_ * \-#,##0_ ;_ * &quot;-&quot;??_ ;_ @_ "/>
    </dxf>
    <dxf>
      <alignment horizontal="center"/>
    </dxf>
    <dxf>
      <alignment horizontal="center"/>
    </dxf>
    <dxf>
      <alignment horizontal="center"/>
    </dxf>
    <dxf>
      <alignment horizontal="center"/>
    </dxf>
    <dxf>
      <alignment vertical="center"/>
    </dxf>
    <dxf>
      <alignment horizontal="center"/>
    </dxf>
    <dxf>
      <numFmt numFmtId="167" formatCode="_ * #,##0_ ;_ * \-#,##0_ ;_ * &quot;-&quot;??_ ;_ @_ "/>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alignment horizontal="center"/>
    </dxf>
    <dxf>
      <alignment horizontal="center"/>
    </dxf>
    <dxf>
      <alignment horizontal="center"/>
    </dxf>
    <dxf>
      <alignment horizontal="center"/>
    </dxf>
    <dxf>
      <alignment horizontal="center"/>
    </dxf>
    <dxf>
      <alignment vertical="center"/>
    </dxf>
    <dxf>
      <alignment horizontal="cent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alignment horizontal="cent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alignment horizontal="center"/>
    </dxf>
    <dxf>
      <alignment horizontal="center"/>
    </dxf>
    <dxf>
      <alignment horizontal="center"/>
    </dxf>
    <dxf>
      <alignment horizontal="center"/>
    </dxf>
    <dxf>
      <alignment horizontal="center"/>
    </dxf>
    <dxf>
      <alignment vertical="center"/>
    </dxf>
    <dxf>
      <alignment horizontal="cent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theme="4"/>
        </left>
        <right style="thin">
          <color theme="4"/>
        </right>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theme="4"/>
        </left>
        <right style="thin">
          <color theme="4"/>
        </right>
        <top style="thin">
          <color theme="4"/>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numFmt numFmtId="164" formatCode="yyyy\-mm\-dd"/>
      <alignment horizontal="center" vertical="center" textRotation="0" wrapText="0" indent="0" justifyLastLine="0" shrinkToFit="0" readingOrder="0"/>
      <border diagonalUp="0" diagonalDown="0">
        <left style="thin">
          <color theme="4"/>
        </left>
        <right/>
        <top style="thin">
          <color theme="4"/>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right/>
        <top style="thin">
          <color theme="4"/>
        </top>
        <bottom/>
        <vertical/>
        <horizontal/>
      </border>
    </dxf>
    <dxf>
      <border outline="0">
        <left style="thin">
          <color theme="4"/>
        </left>
      </border>
    </dxf>
    <dxf>
      <numFmt numFmtId="167" formatCode="_ * #,##0_ ;_ * \-#,##0_ ;_ * &quot;-&quot;??_ ;_ @_ "/>
    </dxf>
    <dxf>
      <numFmt numFmtId="167" formatCode="_ * #,##0_ ;_ * \-#,##0_ ;_ * &quot;-&quot;??_ ;_ @_ "/>
    </dxf>
    <dxf>
      <alignment horizontal="center"/>
    </dxf>
    <dxf>
      <alignment horizontal="center"/>
    </dxf>
    <dxf>
      <alignment horizontal="center"/>
    </dxf>
    <dxf>
      <alignment horizontal="center"/>
    </dxf>
    <dxf>
      <alignment vertical="center"/>
    </dxf>
    <dxf>
      <alignment horizontal="center"/>
    </dxf>
    <dxf>
      <fill>
        <patternFill patternType="solid">
          <bgColor theme="9" tint="0.79998168889431442"/>
        </patternFill>
      </fill>
    </dxf>
    <dxf>
      <fill>
        <patternFill patternType="solid">
          <bgColor theme="9" tint="0.79998168889431442"/>
        </patternFill>
      </fill>
    </dxf>
    <dxf>
      <numFmt numFmtId="167" formatCode="_ * #,##0_ ;_ * \-#,##0_ ;_ * &quot;-&quot;??_ ;_ @_ "/>
    </dxf>
    <dxf>
      <numFmt numFmtId="167" formatCode="_ * #,##0_ ;_ * \-#,##0_ ;_ * &quot;-&quot;??_ ;_ @_ "/>
    </dxf>
    <dxf>
      <alignment horizontal="center"/>
    </dxf>
    <dxf>
      <alignment horizontal="center"/>
    </dxf>
    <dxf>
      <alignment horizontal="center"/>
    </dxf>
    <dxf>
      <alignment horizontal="center"/>
    </dxf>
    <dxf>
      <alignment vertical="center"/>
    </dxf>
    <dxf>
      <alignment horizontal="cent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2.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[Ecommerce_Dataset - Copy.xlsx]pivot table and charts !PivotTable1</c:name>
    <c:fmtId val="2"/>
  </c:pivotSource>
  <c:chart>
    <c:autoTitleDeleted val="1"/>
    <c:pivotFmts>
      <c:pivotFmt>
        <c:idx val="0"/>
        <c:spPr>
          <a:solidFill>
            <a:schemeClr val="tx2">
              <a:lumMod val="60000"/>
              <a:lumOff val="40000"/>
            </a:schemeClr>
          </a:solidFill>
          <a:ln w="9525">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921642607174102"/>
          <c:y val="4.784688995215311E-2"/>
          <c:w val="0.74606135170603671"/>
          <c:h val="0.77614688116138597"/>
        </c:manualLayout>
      </c:layout>
      <c:barChart>
        <c:barDir val="col"/>
        <c:grouping val="clustered"/>
        <c:varyColors val="0"/>
        <c:ser>
          <c:idx val="0"/>
          <c:order val="0"/>
          <c:tx>
            <c:strRef>
              <c:f>'pivot table and charts '!$C$5</c:f>
              <c:strCache>
                <c:ptCount val="1"/>
                <c:pt idx="0">
                  <c:v>Total</c:v>
                </c:pt>
              </c:strCache>
            </c:strRef>
          </c:tx>
          <c:spPr>
            <a:solidFill>
              <a:schemeClr val="tx2">
                <a:lumMod val="60000"/>
                <a:lumOff val="40000"/>
              </a:schemeClr>
            </a:solidFill>
            <a:ln w="9525">
              <a:solidFill>
                <a:schemeClr val="accent1"/>
              </a:solidFill>
            </a:ln>
            <a:effectLst/>
          </c:spPr>
          <c:invertIfNegative val="0"/>
          <c:cat>
            <c:strRef>
              <c:f>'pivot table and charts '!$B$6:$B$11</c:f>
              <c:strCache>
                <c:ptCount val="5"/>
                <c:pt idx="0">
                  <c:v>Sports</c:v>
                </c:pt>
                <c:pt idx="1">
                  <c:v>Beauty</c:v>
                </c:pt>
                <c:pt idx="2">
                  <c:v>Home &amp; Kitchen</c:v>
                </c:pt>
                <c:pt idx="3">
                  <c:v>Clothing</c:v>
                </c:pt>
                <c:pt idx="4">
                  <c:v>Electronics</c:v>
                </c:pt>
              </c:strCache>
            </c:strRef>
          </c:cat>
          <c:val>
            <c:numRef>
              <c:f>'pivot table and charts '!$C$6:$C$11</c:f>
              <c:numCache>
                <c:formatCode>_ * #,##0_ ;_ * \-#,##0_ ;_ * "-"??_ ;_ @_ </c:formatCode>
                <c:ptCount val="5"/>
                <c:pt idx="0">
                  <c:v>17097557.45000001</c:v>
                </c:pt>
                <c:pt idx="1">
                  <c:v>13871909.999999996</c:v>
                </c:pt>
                <c:pt idx="2">
                  <c:v>13368746.749999996</c:v>
                </c:pt>
                <c:pt idx="3">
                  <c:v>13119021.250000002</c:v>
                </c:pt>
                <c:pt idx="4">
                  <c:v>12477068.65000001</c:v>
                </c:pt>
              </c:numCache>
            </c:numRef>
          </c:val>
          <c:extLst>
            <c:ext xmlns:c16="http://schemas.microsoft.com/office/drawing/2014/chart" uri="{C3380CC4-5D6E-409C-BE32-E72D297353CC}">
              <c16:uniqueId val="{00000000-D89E-414A-A47C-BB1750ECCA47}"/>
            </c:ext>
          </c:extLst>
        </c:ser>
        <c:dLbls>
          <c:showLegendKey val="0"/>
          <c:showVal val="0"/>
          <c:showCatName val="0"/>
          <c:showSerName val="0"/>
          <c:showPercent val="0"/>
          <c:showBubbleSize val="0"/>
        </c:dLbls>
        <c:gapWidth val="51"/>
        <c:overlap val="-23"/>
        <c:axId val="1298894063"/>
        <c:axId val="1298905103"/>
      </c:barChart>
      <c:catAx>
        <c:axId val="129889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chemeClr val="tx1">
                    <a:lumMod val="65000"/>
                    <a:lumOff val="35000"/>
                  </a:schemeClr>
                </a:solidFill>
                <a:latin typeface="+mn-lt"/>
                <a:ea typeface="+mn-ea"/>
                <a:cs typeface="+mn-cs"/>
              </a:defRPr>
            </a:pPr>
            <a:endParaRPr lang="en-US"/>
          </a:p>
        </c:txPr>
        <c:crossAx val="1298905103"/>
        <c:crosses val="autoZero"/>
        <c:auto val="1"/>
        <c:lblAlgn val="ctr"/>
        <c:lblOffset val="100"/>
        <c:noMultiLvlLbl val="0"/>
      </c:catAx>
      <c:valAx>
        <c:axId val="1298905103"/>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1298894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[Ecommerce_Dataset - Copy.xlsx]pivot table and charts !PivotTable3</c:name>
    <c:fmtId val="0"/>
  </c:pivotSource>
  <c:chart>
    <c:autoTitleDeleted val="1"/>
    <c:pivotFmts>
      <c:pivotFmt>
        <c:idx val="0"/>
        <c:spPr>
          <a:solidFill>
            <a:schemeClr val="tx2">
              <a:lumMod val="60000"/>
              <a:lumOff val="40000"/>
            </a:schemeClr>
          </a:solidFill>
          <a:ln>
            <a:solidFill>
              <a:schemeClr val="accent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46129985500064"/>
          <c:y val="7.7646105860013998E-2"/>
          <c:w val="0.79486728328479483"/>
          <c:h val="0.83309419655876349"/>
        </c:manualLayout>
      </c:layout>
      <c:barChart>
        <c:barDir val="bar"/>
        <c:grouping val="clustered"/>
        <c:varyColors val="0"/>
        <c:ser>
          <c:idx val="0"/>
          <c:order val="0"/>
          <c:tx>
            <c:strRef>
              <c:f>'pivot table and charts '!$F$5</c:f>
              <c:strCache>
                <c:ptCount val="1"/>
                <c:pt idx="0">
                  <c:v>Total</c:v>
                </c:pt>
              </c:strCache>
            </c:strRef>
          </c:tx>
          <c:spPr>
            <a:solidFill>
              <a:schemeClr val="tx2">
                <a:lumMod val="60000"/>
                <a:lumOff val="40000"/>
              </a:schemeClr>
            </a:solidFill>
            <a:ln>
              <a:solidFill>
                <a:schemeClr val="accent1"/>
              </a:solidFill>
            </a:ln>
            <a:effectLst/>
          </c:spPr>
          <c:invertIfNegative val="0"/>
          <c:cat>
            <c:strRef>
              <c:f>'pivot table and charts '!$E$6:$E$9</c:f>
              <c:strCache>
                <c:ptCount val="3"/>
                <c:pt idx="0">
                  <c:v>West</c:v>
                </c:pt>
                <c:pt idx="1">
                  <c:v>North</c:v>
                </c:pt>
                <c:pt idx="2">
                  <c:v>South</c:v>
                </c:pt>
              </c:strCache>
            </c:strRef>
          </c:cat>
          <c:val>
            <c:numRef>
              <c:f>'pivot table and charts '!$F$6:$F$9</c:f>
              <c:numCache>
                <c:formatCode>_ * #,##0_ ;_ * \-#,##0_ ;_ * "-"??_ ;_ @_ </c:formatCode>
                <c:ptCount val="3"/>
                <c:pt idx="0">
                  <c:v>12675755.350000001</c:v>
                </c:pt>
                <c:pt idx="1">
                  <c:v>14681163.199999994</c:v>
                </c:pt>
                <c:pt idx="2">
                  <c:v>42577385.54999996</c:v>
                </c:pt>
              </c:numCache>
            </c:numRef>
          </c:val>
          <c:extLst>
            <c:ext xmlns:c16="http://schemas.microsoft.com/office/drawing/2014/chart" uri="{C3380CC4-5D6E-409C-BE32-E72D297353CC}">
              <c16:uniqueId val="{00000000-A8B9-47F5-8236-3436F0195A26}"/>
            </c:ext>
          </c:extLst>
        </c:ser>
        <c:dLbls>
          <c:showLegendKey val="0"/>
          <c:showVal val="0"/>
          <c:showCatName val="0"/>
          <c:showSerName val="0"/>
          <c:showPercent val="0"/>
          <c:showBubbleSize val="0"/>
        </c:dLbls>
        <c:gapWidth val="182"/>
        <c:axId val="1552337983"/>
        <c:axId val="1552337023"/>
      </c:barChart>
      <c:catAx>
        <c:axId val="1552337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600" b="1" i="0" u="none" strike="noStrike" kern="1200" baseline="0">
                <a:solidFill>
                  <a:schemeClr val="tx1"/>
                </a:solidFill>
                <a:latin typeface="+mn-lt"/>
                <a:ea typeface="+mn-ea"/>
                <a:cs typeface="+mn-cs"/>
              </a:defRPr>
            </a:pPr>
            <a:endParaRPr lang="en-US"/>
          </a:p>
        </c:txPr>
        <c:crossAx val="1552337023"/>
        <c:crosses val="autoZero"/>
        <c:auto val="1"/>
        <c:lblAlgn val="ctr"/>
        <c:lblOffset val="100"/>
        <c:noMultiLvlLbl val="0"/>
      </c:catAx>
      <c:valAx>
        <c:axId val="1552337023"/>
        <c:scaling>
          <c:orientation val="minMax"/>
        </c:scaling>
        <c:delete val="0"/>
        <c:axPos val="b"/>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en-US" sz="700" b="1" i="0" u="none" strike="noStrike" kern="1200" baseline="0">
                <a:solidFill>
                  <a:schemeClr val="tx1"/>
                </a:solidFill>
                <a:latin typeface="+mn-lt"/>
                <a:ea typeface="+mn-ea"/>
                <a:cs typeface="+mn-cs"/>
              </a:defRPr>
            </a:pPr>
            <a:endParaRPr lang="en-US"/>
          </a:p>
        </c:txPr>
        <c:crossAx val="1552337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[Ecommerce_Dataset - Copy.xlsx]pivot table and charts !PivotTable5</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625944484212202"/>
          <c:y val="2.953042897470818E-2"/>
          <c:w val="0.83111286089238845"/>
          <c:h val="0.85885024788568098"/>
        </c:manualLayout>
      </c:layout>
      <c:lineChart>
        <c:grouping val="standard"/>
        <c:varyColors val="0"/>
        <c:ser>
          <c:idx val="0"/>
          <c:order val="0"/>
          <c:tx>
            <c:strRef>
              <c:f>'pivot table and charts '!$I$5</c:f>
              <c:strCache>
                <c:ptCount val="1"/>
                <c:pt idx="0">
                  <c:v>Total</c:v>
                </c:pt>
              </c:strCache>
            </c:strRef>
          </c:tx>
          <c:spPr>
            <a:ln w="28575" cap="rnd">
              <a:solidFill>
                <a:schemeClr val="accent1"/>
              </a:solidFill>
              <a:round/>
            </a:ln>
            <a:effectLst/>
          </c:spPr>
          <c:marker>
            <c:symbol val="none"/>
          </c:marker>
          <c:cat>
            <c:strRef>
              <c:f>'pivot table and charts '!$H$6:$H$9</c:f>
              <c:strCache>
                <c:ptCount val="3"/>
                <c:pt idx="0">
                  <c:v>Consumer</c:v>
                </c:pt>
                <c:pt idx="1">
                  <c:v>Corporate</c:v>
                </c:pt>
                <c:pt idx="2">
                  <c:v>Home Office</c:v>
                </c:pt>
              </c:strCache>
            </c:strRef>
          </c:cat>
          <c:val>
            <c:numRef>
              <c:f>'pivot table and charts '!$I$6:$I$9</c:f>
              <c:numCache>
                <c:formatCode>_ * #,##0_ ;_ * \-#,##0_ ;_ * "-"??_ ;_ @_ </c:formatCode>
                <c:ptCount val="3"/>
                <c:pt idx="0">
                  <c:v>23658882.400000002</c:v>
                </c:pt>
                <c:pt idx="1">
                  <c:v>23581522.149999991</c:v>
                </c:pt>
                <c:pt idx="2">
                  <c:v>22693899.54999999</c:v>
                </c:pt>
              </c:numCache>
            </c:numRef>
          </c:val>
          <c:smooth val="0"/>
          <c:extLst>
            <c:ext xmlns:c16="http://schemas.microsoft.com/office/drawing/2014/chart" uri="{C3380CC4-5D6E-409C-BE32-E72D297353CC}">
              <c16:uniqueId val="{00000000-92D0-4D94-957B-16A57B838A5E}"/>
            </c:ext>
          </c:extLst>
        </c:ser>
        <c:dLbls>
          <c:showLegendKey val="0"/>
          <c:showVal val="0"/>
          <c:showCatName val="0"/>
          <c:showSerName val="0"/>
          <c:showPercent val="0"/>
          <c:showBubbleSize val="0"/>
        </c:dLbls>
        <c:smooth val="0"/>
        <c:axId val="1950710959"/>
        <c:axId val="1950716719"/>
      </c:lineChart>
      <c:catAx>
        <c:axId val="1950710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700" b="1" i="0" u="none" strike="noStrike" kern="1200" baseline="0">
                <a:solidFill>
                  <a:schemeClr val="tx1"/>
                </a:solidFill>
                <a:latin typeface="+mn-lt"/>
                <a:ea typeface="+mn-ea"/>
                <a:cs typeface="+mn-cs"/>
              </a:defRPr>
            </a:pPr>
            <a:endParaRPr lang="en-US"/>
          </a:p>
        </c:txPr>
        <c:crossAx val="1950716719"/>
        <c:crosses val="autoZero"/>
        <c:auto val="1"/>
        <c:lblAlgn val="ctr"/>
        <c:lblOffset val="100"/>
        <c:noMultiLvlLbl val="0"/>
      </c:catAx>
      <c:valAx>
        <c:axId val="1950716719"/>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en-US" sz="700" b="1" i="0" u="none" strike="noStrike" kern="1200" baseline="0">
                <a:solidFill>
                  <a:schemeClr val="tx1"/>
                </a:solidFill>
                <a:latin typeface="+mn-lt"/>
                <a:ea typeface="+mn-ea"/>
                <a:cs typeface="+mn-cs"/>
              </a:defRPr>
            </a:pPr>
            <a:endParaRPr lang="en-US"/>
          </a:p>
        </c:txPr>
        <c:crossAx val="1950710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[Ecommerce_Dataset - Copy.xlsx]pivot table and charts !PivotTable8</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tx2">
              <a:lumMod val="75000"/>
            </a:schemeClr>
          </a:solidFill>
          <a:ln>
            <a:noFill/>
          </a:ln>
          <a:effectLst>
            <a:outerShdw blurRad="254000" sx="102000" sy="102000" algn="ctr" rotWithShape="0">
              <a:prstClr val="black">
                <a:alpha val="20000"/>
              </a:prstClr>
            </a:outerShdw>
          </a:effectLst>
        </c:spPr>
      </c:pivotFmt>
      <c:pivotFmt>
        <c:idx val="4"/>
        <c:spPr>
          <a:solidFill>
            <a:schemeClr val="tx2">
              <a:lumMod val="40000"/>
              <a:lumOff val="60000"/>
            </a:schemeClr>
          </a:solidFill>
          <a:ln>
            <a:noFill/>
          </a:ln>
          <a:effectLst>
            <a:outerShdw blurRad="254000" sx="102000" sy="102000" algn="ctr" rotWithShape="0">
              <a:prstClr val="black">
                <a:alpha val="20000"/>
              </a:prstClr>
            </a:outerShdw>
          </a:effectLst>
        </c:spPr>
      </c:pivotFmt>
      <c:pivotFmt>
        <c:idx val="5"/>
        <c:spPr>
          <a:solidFill>
            <a:schemeClr val="tx2">
              <a:lumMod val="20000"/>
              <a:lumOff val="80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2313296903460839"/>
          <c:y val="9.9802534064105011E-2"/>
          <c:w val="0.56458629146766492"/>
          <c:h val="0.7753792971000576"/>
        </c:manualLayout>
      </c:layout>
      <c:pieChart>
        <c:varyColors val="1"/>
        <c:ser>
          <c:idx val="0"/>
          <c:order val="0"/>
          <c:tx>
            <c:strRef>
              <c:f>'pivot table and charts '!$L$5:$L$6</c:f>
              <c:strCache>
                <c:ptCount val="1"/>
                <c:pt idx="0">
                  <c:v>North</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tx2">
                  <a:lumMod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6A35-4421-A0E1-92AFF535BEA1}"/>
              </c:ext>
            </c:extLst>
          </c:dPt>
          <c:dPt>
            <c:idx val="2"/>
            <c:bubble3D val="0"/>
            <c:spPr>
              <a:solidFill>
                <a:schemeClr val="tx2">
                  <a:lumMod val="40000"/>
                  <a:lumOff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A35-4421-A0E1-92AFF535BEA1}"/>
              </c:ext>
            </c:extLst>
          </c:dPt>
          <c:dPt>
            <c:idx val="3"/>
            <c:bubble3D val="0"/>
            <c:spPr>
              <a:solidFill>
                <a:schemeClr val="tx2">
                  <a:lumMod val="20000"/>
                  <a:lumOff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6A35-4421-A0E1-92AFF535BEA1}"/>
              </c:ext>
            </c:extLst>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 and charts '!$K$7:$K$12</c:f>
              <c:strCache>
                <c:ptCount val="5"/>
                <c:pt idx="0">
                  <c:v>Beauty</c:v>
                </c:pt>
                <c:pt idx="1">
                  <c:v>Electronics</c:v>
                </c:pt>
                <c:pt idx="2">
                  <c:v>Clothing</c:v>
                </c:pt>
                <c:pt idx="3">
                  <c:v>Sports</c:v>
                </c:pt>
                <c:pt idx="4">
                  <c:v>Home &amp; Kitchen</c:v>
                </c:pt>
              </c:strCache>
            </c:strRef>
          </c:cat>
          <c:val>
            <c:numRef>
              <c:f>'pivot table and charts '!$L$7:$L$12</c:f>
              <c:numCache>
                <c:formatCode>0.0%</c:formatCode>
                <c:ptCount val="5"/>
                <c:pt idx="0">
                  <c:v>0.25076621197700572</c:v>
                </c:pt>
                <c:pt idx="1">
                  <c:v>0.27670180180381804</c:v>
                </c:pt>
                <c:pt idx="2">
                  <c:v>0.27665637395775583</c:v>
                </c:pt>
                <c:pt idx="3">
                  <c:v>0.25590288583726151</c:v>
                </c:pt>
                <c:pt idx="4">
                  <c:v>0.26516957344100972</c:v>
                </c:pt>
              </c:numCache>
            </c:numRef>
          </c:val>
          <c:extLst>
            <c:ext xmlns:c16="http://schemas.microsoft.com/office/drawing/2014/chart" uri="{C3380CC4-5D6E-409C-BE32-E72D297353CC}">
              <c16:uniqueId val="{00000000-6A35-4421-A0E1-92AFF535BEA1}"/>
            </c:ext>
          </c:extLst>
        </c:ser>
        <c:ser>
          <c:idx val="1"/>
          <c:order val="1"/>
          <c:tx>
            <c:strRef>
              <c:f>'pivot table and charts '!$M$5:$M$6</c:f>
              <c:strCache>
                <c:ptCount val="1"/>
                <c:pt idx="0">
                  <c:v>South</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 and charts '!$K$7:$K$12</c:f>
              <c:strCache>
                <c:ptCount val="5"/>
                <c:pt idx="0">
                  <c:v>Beauty</c:v>
                </c:pt>
                <c:pt idx="1">
                  <c:v>Electronics</c:v>
                </c:pt>
                <c:pt idx="2">
                  <c:v>Clothing</c:v>
                </c:pt>
                <c:pt idx="3">
                  <c:v>Sports</c:v>
                </c:pt>
                <c:pt idx="4">
                  <c:v>Home &amp; Kitchen</c:v>
                </c:pt>
              </c:strCache>
            </c:strRef>
          </c:cat>
          <c:val>
            <c:numRef>
              <c:f>'pivot table and charts '!$M$7:$M$12</c:f>
              <c:numCache>
                <c:formatCode>0.0%</c:formatCode>
                <c:ptCount val="5"/>
                <c:pt idx="0">
                  <c:v>0.28436780060037037</c:v>
                </c:pt>
                <c:pt idx="1">
                  <c:v>0.2667269358317037</c:v>
                </c:pt>
                <c:pt idx="2">
                  <c:v>0.27387770929364325</c:v>
                </c:pt>
                <c:pt idx="3">
                  <c:v>0.2804169806327047</c:v>
                </c:pt>
                <c:pt idx="4">
                  <c:v>0.27089436787005111</c:v>
                </c:pt>
              </c:numCache>
            </c:numRef>
          </c:val>
          <c:extLst>
            <c:ext xmlns:c16="http://schemas.microsoft.com/office/drawing/2014/chart" uri="{C3380CC4-5D6E-409C-BE32-E72D297353CC}">
              <c16:uniqueId val="{00000001-6A35-4421-A0E1-92AFF535BEA1}"/>
            </c:ext>
          </c:extLst>
        </c:ser>
        <c:ser>
          <c:idx val="2"/>
          <c:order val="2"/>
          <c:tx>
            <c:strRef>
              <c:f>'pivot table and charts '!$N$5:$N$6</c:f>
              <c:strCache>
                <c:ptCount val="1"/>
                <c:pt idx="0">
                  <c:v>West</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 and charts '!$K$7:$K$12</c:f>
              <c:strCache>
                <c:ptCount val="5"/>
                <c:pt idx="0">
                  <c:v>Beauty</c:v>
                </c:pt>
                <c:pt idx="1">
                  <c:v>Electronics</c:v>
                </c:pt>
                <c:pt idx="2">
                  <c:v>Clothing</c:v>
                </c:pt>
                <c:pt idx="3">
                  <c:v>Sports</c:v>
                </c:pt>
                <c:pt idx="4">
                  <c:v>Home &amp; Kitchen</c:v>
                </c:pt>
              </c:strCache>
            </c:strRef>
          </c:cat>
          <c:val>
            <c:numRef>
              <c:f>'pivot table and charts '!$N$7:$N$12</c:f>
              <c:numCache>
                <c:formatCode>0.0%</c:formatCode>
                <c:ptCount val="5"/>
                <c:pt idx="0">
                  <c:v>0.27322683461864355</c:v>
                </c:pt>
                <c:pt idx="1">
                  <c:v>0.29300145761657947</c:v>
                </c:pt>
                <c:pt idx="2">
                  <c:v>0.26859240119935718</c:v>
                </c:pt>
                <c:pt idx="3">
                  <c:v>0.26767301438826718</c:v>
                </c:pt>
                <c:pt idx="4">
                  <c:v>0.27999329067645529</c:v>
                </c:pt>
              </c:numCache>
            </c:numRef>
          </c:val>
          <c:extLst>
            <c:ext xmlns:c16="http://schemas.microsoft.com/office/drawing/2014/chart" uri="{C3380CC4-5D6E-409C-BE32-E72D297353CC}">
              <c16:uniqueId val="{00000002-6A35-4421-A0E1-92AFF535BEA1}"/>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22860</xdr:colOff>
      <xdr:row>14</xdr:row>
      <xdr:rowOff>11430</xdr:rowOff>
    </xdr:from>
    <xdr:to>
      <xdr:col>3</xdr:col>
      <xdr:colOff>7620</xdr:colOff>
      <xdr:row>23</xdr:row>
      <xdr:rowOff>152400</xdr:rowOff>
    </xdr:to>
    <xdr:graphicFrame macro="">
      <xdr:nvGraphicFramePr>
        <xdr:cNvPr id="4" name="Chart 3">
          <a:extLst>
            <a:ext uri="{FF2B5EF4-FFF2-40B4-BE49-F238E27FC236}">
              <a16:creationId xmlns:a16="http://schemas.microsoft.com/office/drawing/2014/main" id="{3AA721B0-58B6-D078-7D5C-9891A3A5F6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342900</xdr:colOff>
      <xdr:row>13</xdr:row>
      <xdr:rowOff>163830</xdr:rowOff>
    </xdr:from>
    <xdr:to>
      <xdr:col>6</xdr:col>
      <xdr:colOff>243840</xdr:colOff>
      <xdr:row>23</xdr:row>
      <xdr:rowOff>60960</xdr:rowOff>
    </xdr:to>
    <xdr:graphicFrame macro="">
      <xdr:nvGraphicFramePr>
        <xdr:cNvPr id="5" name="Chart 4">
          <a:extLst>
            <a:ext uri="{FF2B5EF4-FFF2-40B4-BE49-F238E27FC236}">
              <a16:creationId xmlns:a16="http://schemas.microsoft.com/office/drawing/2014/main" id="{4AF9602A-C6CD-6EC6-BE26-DF0E3405B6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129540</xdr:colOff>
      <xdr:row>13</xdr:row>
      <xdr:rowOff>57150</xdr:rowOff>
    </xdr:from>
    <xdr:to>
      <xdr:col>9</xdr:col>
      <xdr:colOff>213360</xdr:colOff>
      <xdr:row>23</xdr:row>
      <xdr:rowOff>144780</xdr:rowOff>
    </xdr:to>
    <xdr:graphicFrame macro="">
      <xdr:nvGraphicFramePr>
        <xdr:cNvPr id="6" name="Chart 5">
          <a:extLst>
            <a:ext uri="{FF2B5EF4-FFF2-40B4-BE49-F238E27FC236}">
              <a16:creationId xmlns:a16="http://schemas.microsoft.com/office/drawing/2014/main" id="{9FF8D8D8-5580-DD6B-4697-0453635D11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274320</xdr:colOff>
      <xdr:row>13</xdr:row>
      <xdr:rowOff>72390</xdr:rowOff>
    </xdr:from>
    <xdr:to>
      <xdr:col>14</xdr:col>
      <xdr:colOff>114300</xdr:colOff>
      <xdr:row>24</xdr:row>
      <xdr:rowOff>91440</xdr:rowOff>
    </xdr:to>
    <xdr:graphicFrame macro="">
      <xdr:nvGraphicFramePr>
        <xdr:cNvPr id="7" name="Chart 6">
          <a:extLst>
            <a:ext uri="{FF2B5EF4-FFF2-40B4-BE49-F238E27FC236}">
              <a16:creationId xmlns:a16="http://schemas.microsoft.com/office/drawing/2014/main" id="{F6BC9616-15DE-4FBC-A788-BCF935958C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205740</xdr:colOff>
      <xdr:row>1</xdr:row>
      <xdr:rowOff>121920</xdr:rowOff>
    </xdr:from>
    <xdr:to>
      <xdr:col>3</xdr:col>
      <xdr:colOff>38100</xdr:colOff>
      <xdr:row>3</xdr:row>
      <xdr:rowOff>38100</xdr:rowOff>
    </xdr:to>
    <xdr:sp macro="" textlink="">
      <xdr:nvSpPr>
        <xdr:cNvPr id="10" name="Rectangle: Rounded Corners 9">
          <a:extLst>
            <a:ext uri="{FF2B5EF4-FFF2-40B4-BE49-F238E27FC236}">
              <a16:creationId xmlns:a16="http://schemas.microsoft.com/office/drawing/2014/main" id="{C6D8B11D-816B-9A92-4E0A-CA68F418074E}"/>
            </a:ext>
          </a:extLst>
        </xdr:cNvPr>
        <xdr:cNvSpPr/>
      </xdr:nvSpPr>
      <xdr:spPr>
        <a:xfrm>
          <a:off x="815340" y="304800"/>
          <a:ext cx="2362200" cy="281940"/>
        </a:xfrm>
        <a:prstGeom prst="round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chemeClr val="tx1"/>
              </a:solidFill>
              <a:latin typeface="Bodoni MT" panose="02070603080606020203" pitchFamily="18" charset="0"/>
            </a:rPr>
            <a:t>Total sales by Category</a:t>
          </a:r>
        </a:p>
      </xdr:txBody>
    </xdr:sp>
    <xdr:clientData/>
  </xdr:twoCellAnchor>
  <xdr:twoCellAnchor>
    <xdr:from>
      <xdr:col>10</xdr:col>
      <xdr:colOff>99060</xdr:colOff>
      <xdr:row>1</xdr:row>
      <xdr:rowOff>106680</xdr:rowOff>
    </xdr:from>
    <xdr:to>
      <xdr:col>14</xdr:col>
      <xdr:colOff>129540</xdr:colOff>
      <xdr:row>3</xdr:row>
      <xdr:rowOff>22860</xdr:rowOff>
    </xdr:to>
    <xdr:sp macro="" textlink="">
      <xdr:nvSpPr>
        <xdr:cNvPr id="11" name="Rectangle: Rounded Corners 10">
          <a:extLst>
            <a:ext uri="{FF2B5EF4-FFF2-40B4-BE49-F238E27FC236}">
              <a16:creationId xmlns:a16="http://schemas.microsoft.com/office/drawing/2014/main" id="{4A7B477D-6008-496D-A1CE-39573A26840A}"/>
            </a:ext>
          </a:extLst>
        </xdr:cNvPr>
        <xdr:cNvSpPr/>
      </xdr:nvSpPr>
      <xdr:spPr>
        <a:xfrm>
          <a:off x="9060180" y="289560"/>
          <a:ext cx="2979420" cy="281940"/>
        </a:xfrm>
        <a:prstGeom prst="round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chemeClr val="tx1"/>
              </a:solidFill>
              <a:latin typeface="Bodoni MT" panose="02070603080606020203" pitchFamily="18" charset="0"/>
            </a:rPr>
            <a:t>Profit</a:t>
          </a:r>
          <a:r>
            <a:rPr lang="en-IN" sz="1100" baseline="0">
              <a:solidFill>
                <a:schemeClr val="tx1"/>
              </a:solidFill>
              <a:latin typeface="Bodoni MT" panose="02070603080606020203" pitchFamily="18" charset="0"/>
            </a:rPr>
            <a:t> Margin by Category and Region</a:t>
          </a:r>
        </a:p>
        <a:p>
          <a:pPr algn="ctr"/>
          <a:endParaRPr lang="en-IN" sz="1100">
            <a:solidFill>
              <a:schemeClr val="tx1"/>
            </a:solidFill>
            <a:latin typeface="Bodoni MT" panose="02070603080606020203" pitchFamily="18" charset="0"/>
          </a:endParaRPr>
        </a:p>
      </xdr:txBody>
    </xdr:sp>
    <xdr:clientData/>
  </xdr:twoCellAnchor>
  <xdr:twoCellAnchor>
    <xdr:from>
      <xdr:col>7</xdr:col>
      <xdr:colOff>106680</xdr:colOff>
      <xdr:row>1</xdr:row>
      <xdr:rowOff>91440</xdr:rowOff>
    </xdr:from>
    <xdr:to>
      <xdr:col>9</xdr:col>
      <xdr:colOff>38100</xdr:colOff>
      <xdr:row>3</xdr:row>
      <xdr:rowOff>7620</xdr:rowOff>
    </xdr:to>
    <xdr:sp macro="" textlink="">
      <xdr:nvSpPr>
        <xdr:cNvPr id="12" name="Rectangle: Rounded Corners 11">
          <a:extLst>
            <a:ext uri="{FF2B5EF4-FFF2-40B4-BE49-F238E27FC236}">
              <a16:creationId xmlns:a16="http://schemas.microsoft.com/office/drawing/2014/main" id="{EF16952B-0A22-42AC-BA06-7965CCBC0851}"/>
            </a:ext>
          </a:extLst>
        </xdr:cNvPr>
        <xdr:cNvSpPr/>
      </xdr:nvSpPr>
      <xdr:spPr>
        <a:xfrm>
          <a:off x="6294120" y="274320"/>
          <a:ext cx="2362200" cy="281940"/>
        </a:xfrm>
        <a:prstGeom prst="round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chemeClr val="tx1"/>
              </a:solidFill>
              <a:latin typeface="Bodoni MT" panose="02070603080606020203" pitchFamily="18" charset="0"/>
            </a:rPr>
            <a:t>Total sales by Segment</a:t>
          </a:r>
        </a:p>
        <a:p>
          <a:pPr algn="ctr"/>
          <a:endParaRPr lang="en-IN" sz="1100">
            <a:solidFill>
              <a:schemeClr val="tx1"/>
            </a:solidFill>
            <a:latin typeface="Bodoni MT" panose="02070603080606020203" pitchFamily="18" charset="0"/>
          </a:endParaRPr>
        </a:p>
      </xdr:txBody>
    </xdr:sp>
    <xdr:clientData/>
  </xdr:twoCellAnchor>
  <xdr:twoCellAnchor>
    <xdr:from>
      <xdr:col>4</xdr:col>
      <xdr:colOff>38100</xdr:colOff>
      <xdr:row>1</xdr:row>
      <xdr:rowOff>106680</xdr:rowOff>
    </xdr:from>
    <xdr:to>
      <xdr:col>6</xdr:col>
      <xdr:colOff>83820</xdr:colOff>
      <xdr:row>3</xdr:row>
      <xdr:rowOff>22860</xdr:rowOff>
    </xdr:to>
    <xdr:sp macro="" textlink="">
      <xdr:nvSpPr>
        <xdr:cNvPr id="13" name="Rectangle: Rounded Corners 12">
          <a:extLst>
            <a:ext uri="{FF2B5EF4-FFF2-40B4-BE49-F238E27FC236}">
              <a16:creationId xmlns:a16="http://schemas.microsoft.com/office/drawing/2014/main" id="{7C7F06F9-1591-4540-A9B7-C034E3F9E2D8}"/>
            </a:ext>
          </a:extLst>
        </xdr:cNvPr>
        <xdr:cNvSpPr/>
      </xdr:nvSpPr>
      <xdr:spPr>
        <a:xfrm>
          <a:off x="3589020" y="289560"/>
          <a:ext cx="2293620" cy="281940"/>
        </a:xfrm>
        <a:prstGeom prst="round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chemeClr val="tx1"/>
              </a:solidFill>
              <a:latin typeface="Bodoni MT" panose="02070603080606020203" pitchFamily="18" charset="0"/>
            </a:rPr>
            <a:t>Total sales by Region</a:t>
          </a:r>
        </a:p>
        <a:p>
          <a:pPr algn="ctr"/>
          <a:endParaRPr lang="en-IN" sz="1100">
            <a:solidFill>
              <a:schemeClr val="tx1"/>
            </a:solidFill>
            <a:latin typeface="Bodoni MT" panose="02070603080606020203" pitchFamily="18" charset="0"/>
          </a:endParaRPr>
        </a:p>
      </xdr:txBody>
    </xdr:sp>
    <xdr:clientData/>
  </xdr:twoCellAnchor>
  <xdr:twoCellAnchor editAs="oneCell">
    <xdr:from>
      <xdr:col>15</xdr:col>
      <xdr:colOff>22860</xdr:colOff>
      <xdr:row>2</xdr:row>
      <xdr:rowOff>99061</xdr:rowOff>
    </xdr:from>
    <xdr:to>
      <xdr:col>15</xdr:col>
      <xdr:colOff>1478280</xdr:colOff>
      <xdr:row>9</xdr:row>
      <xdr:rowOff>15240</xdr:rowOff>
    </xdr:to>
    <mc:AlternateContent xmlns:mc="http://schemas.openxmlformats.org/markup-compatibility/2006">
      <mc:Choice xmlns:a14="http://schemas.microsoft.com/office/drawing/2010/main" Requires="a14">
        <xdr:graphicFrame macro="">
          <xdr:nvGraphicFramePr>
            <xdr:cNvPr id="14" name="Region">
              <a:extLst>
                <a:ext uri="{FF2B5EF4-FFF2-40B4-BE49-F238E27FC236}">
                  <a16:creationId xmlns:a16="http://schemas.microsoft.com/office/drawing/2014/main" id="{77B10386-2078-CEF6-C200-3715D8F30FB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462260" y="464821"/>
              <a:ext cx="1455420" cy="1196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38100</xdr:colOff>
      <xdr:row>9</xdr:row>
      <xdr:rowOff>45720</xdr:rowOff>
    </xdr:from>
    <xdr:to>
      <xdr:col>15</xdr:col>
      <xdr:colOff>1508760</xdr:colOff>
      <xdr:row>19</xdr:row>
      <xdr:rowOff>76199</xdr:rowOff>
    </xdr:to>
    <mc:AlternateContent xmlns:mc="http://schemas.openxmlformats.org/markup-compatibility/2006">
      <mc:Choice xmlns:a14="http://schemas.microsoft.com/office/drawing/2010/main" Requires="a14">
        <xdr:graphicFrame macro="">
          <xdr:nvGraphicFramePr>
            <xdr:cNvPr id="15" name="Product_Category">
              <a:extLst>
                <a:ext uri="{FF2B5EF4-FFF2-40B4-BE49-F238E27FC236}">
                  <a16:creationId xmlns:a16="http://schemas.microsoft.com/office/drawing/2014/main" id="{42A9E842-3847-C8F7-F6F6-B63EB1754262}"/>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10477500" y="1691640"/>
              <a:ext cx="1470660" cy="1859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45720</xdr:colOff>
      <xdr:row>19</xdr:row>
      <xdr:rowOff>91441</xdr:rowOff>
    </xdr:from>
    <xdr:to>
      <xdr:col>15</xdr:col>
      <xdr:colOff>1508760</xdr:colOff>
      <xdr:row>26</xdr:row>
      <xdr:rowOff>1</xdr:rowOff>
    </xdr:to>
    <mc:AlternateContent xmlns:mc="http://schemas.openxmlformats.org/markup-compatibility/2006">
      <mc:Choice xmlns:a14="http://schemas.microsoft.com/office/drawing/2010/main" Requires="a14">
        <xdr:graphicFrame macro="">
          <xdr:nvGraphicFramePr>
            <xdr:cNvPr id="16" name="Segment">
              <a:extLst>
                <a:ext uri="{FF2B5EF4-FFF2-40B4-BE49-F238E27FC236}">
                  <a16:creationId xmlns:a16="http://schemas.microsoft.com/office/drawing/2014/main" id="{86FDAA65-3593-B6EB-2F7A-396765641DDB}"/>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0485120" y="3566161"/>
              <a:ext cx="146304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priya lokhande" refreshedDate="46038.748452777778" createdVersion="8" refreshedVersion="8" minRefreshableVersion="3" recordCount="1000" xr:uid="{AD51C93C-3882-4CC1-AFDE-C5B0AA122481}">
  <cacheSource type="worksheet">
    <worksheetSource ref="B2:Q1002" sheet="Ecommerce_Data"/>
  </cacheSource>
  <cacheFields count="16">
    <cacheField name="Order_ID" numFmtId="0">
      <sharedItems/>
    </cacheField>
    <cacheField name="Order_Date" numFmtId="164">
      <sharedItems containsSemiMixedTypes="0" containsNonDate="0" containsDate="1" containsString="0" minDate="2024-01-01T00:00:00" maxDate="2025-01-01T00:00:00"/>
    </cacheField>
    <cacheField name="Customer_ID" numFmtId="0">
      <sharedItems/>
    </cacheField>
    <cacheField name="Customer_Name" numFmtId="0">
      <sharedItems/>
    </cacheField>
    <cacheField name="Gender" numFmtId="0">
      <sharedItems/>
    </cacheField>
    <cacheField name="Age" numFmtId="0">
      <sharedItems containsSemiMixedTypes="0" containsString="0" containsNumber="1" containsInteger="1" minValue="18" maxValue="60"/>
    </cacheField>
    <cacheField name="City" numFmtId="0">
      <sharedItems/>
    </cacheField>
    <cacheField name="Region" numFmtId="0">
      <sharedItems count="3">
        <s v="South"/>
        <s v="North"/>
        <s v="West"/>
      </sharedItems>
    </cacheField>
    <cacheField name="Segment" numFmtId="0">
      <sharedItems count="3">
        <s v="Corporate"/>
        <s v="Consumer"/>
        <s v="Home Office"/>
      </sharedItems>
    </cacheField>
    <cacheField name="Product_Category" numFmtId="0">
      <sharedItems count="5">
        <s v="Electronics"/>
        <s v="Home &amp; Kitchen"/>
        <s v="Sports"/>
        <s v="Clothing"/>
        <s v="Beauty"/>
      </sharedItems>
    </cacheField>
    <cacheField name="Payment_Method" numFmtId="0">
      <sharedItems count="5">
        <s v="Net Banking"/>
        <s v="Credit Card"/>
        <s v="UPI"/>
        <s v="Cash on Delivery"/>
        <s v="Debit Card"/>
      </sharedItems>
    </cacheField>
    <cacheField name="Order_Status" numFmtId="0">
      <sharedItems/>
    </cacheField>
    <cacheField name="Quantity" numFmtId="0">
      <sharedItems containsSemiMixedTypes="0" containsString="0" containsNumber="1" containsInteger="1" minValue="1" maxValue="5"/>
    </cacheField>
    <cacheField name="Unit_Price" numFmtId="0">
      <sharedItems containsSemiMixedTypes="0" containsString="0" containsNumber="1" containsInteger="1" minValue="501" maxValue="49692"/>
    </cacheField>
    <cacheField name="Sales" numFmtId="0">
      <sharedItems containsSemiMixedTypes="0" containsString="0" containsNumber="1" minValue="888" maxValue="245680"/>
    </cacheField>
    <cacheField name="Profit" numFmtId="0">
      <sharedItems containsSemiMixedTypes="0" containsString="0" containsNumber="1" minValue="280.11" maxValue="79165.429999999993"/>
    </cacheField>
  </cacheFields>
  <extLst>
    <ext xmlns:x14="http://schemas.microsoft.com/office/spreadsheetml/2009/9/main" uri="{725AE2AE-9491-48be-B2B4-4EB974FC3084}">
      <x14:pivotCacheDefinition pivotCacheId="92949460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priya lokhande" refreshedDate="46038.77396608796" createdVersion="8" refreshedVersion="8" minRefreshableVersion="3" recordCount="1000" xr:uid="{1FEA22F6-4821-4466-B3E5-E9BD292330C2}">
  <cacheSource type="worksheet">
    <worksheetSource name="Table3"/>
  </cacheSource>
  <cacheFields count="17">
    <cacheField name="Order_ID" numFmtId="0">
      <sharedItems/>
    </cacheField>
    <cacheField name="Order_Date" numFmtId="164">
      <sharedItems containsSemiMixedTypes="0" containsNonDate="0" containsDate="1" containsString="0" minDate="2024-01-01T00:00:00" maxDate="2025-01-01T00:00:00"/>
    </cacheField>
    <cacheField name="Customer_ID" numFmtId="0">
      <sharedItems/>
    </cacheField>
    <cacheField name="Customer_Name" numFmtId="0">
      <sharedItems/>
    </cacheField>
    <cacheField name="Gender" numFmtId="0">
      <sharedItems/>
    </cacheField>
    <cacheField name="Age" numFmtId="0">
      <sharedItems containsSemiMixedTypes="0" containsString="0" containsNumber="1" containsInteger="1" minValue="18" maxValue="60"/>
    </cacheField>
    <cacheField name="City" numFmtId="0">
      <sharedItems/>
    </cacheField>
    <cacheField name="Region" numFmtId="0">
      <sharedItems count="3">
        <s v="South"/>
        <s v="North"/>
        <s v="West"/>
      </sharedItems>
    </cacheField>
    <cacheField name="Segment" numFmtId="0">
      <sharedItems/>
    </cacheField>
    <cacheField name="Product_Category" numFmtId="0">
      <sharedItems count="5">
        <s v="Electronics"/>
        <s v="Home &amp; Kitchen"/>
        <s v="Sports"/>
        <s v="Clothing"/>
        <s v="Beauty"/>
      </sharedItems>
    </cacheField>
    <cacheField name="Payment_Method" numFmtId="0">
      <sharedItems/>
    </cacheField>
    <cacheField name="Order_Status" numFmtId="0">
      <sharedItems/>
    </cacheField>
    <cacheField name="Quantity" numFmtId="0">
      <sharedItems containsSemiMixedTypes="0" containsString="0" containsNumber="1" containsInteger="1" minValue="1" maxValue="5"/>
    </cacheField>
    <cacheField name="Unit_Price" numFmtId="0">
      <sharedItems containsSemiMixedTypes="0" containsString="0" containsNumber="1" containsInteger="1" minValue="501" maxValue="49692"/>
    </cacheField>
    <cacheField name="Sales" numFmtId="0">
      <sharedItems containsSemiMixedTypes="0" containsString="0" containsNumber="1" minValue="888" maxValue="245680"/>
    </cacheField>
    <cacheField name="Profit" numFmtId="0">
      <sharedItems containsSemiMixedTypes="0" containsString="0" containsNumber="1" minValue="280.11" maxValue="79165.429999999993"/>
    </cacheField>
    <cacheField name="Profit Margin" numFmtId="9">
      <sharedItems containsSemiMixedTypes="0" containsString="0" containsNumber="1" minValue="0.15035894612171963" maxValue="0.3999299316994777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001"/>
    <d v="2024-09-06T00:00:00"/>
    <s v="CUST0001"/>
    <s v="Aarav"/>
    <s v="Female"/>
    <n v="25"/>
    <s v="Hyderabad"/>
    <x v="0"/>
    <x v="0"/>
    <x v="0"/>
    <x v="0"/>
    <s v="Returned"/>
    <n v="4"/>
    <n v="38420"/>
    <n v="122944"/>
    <n v="28962.26"/>
  </r>
  <r>
    <s v="ORD0002"/>
    <d v="2024-07-02T00:00:00"/>
    <s v="CUST0002"/>
    <s v="Ananya"/>
    <s v="Female"/>
    <n v="27"/>
    <s v="Delhi"/>
    <x v="0"/>
    <x v="1"/>
    <x v="1"/>
    <x v="1"/>
    <s v="Cancelled"/>
    <n v="2"/>
    <n v="12452"/>
    <n v="23658.799999999999"/>
    <n v="7436.33"/>
  </r>
  <r>
    <s v="ORD0003"/>
    <d v="2024-12-13T00:00:00"/>
    <s v="CUST0003"/>
    <s v="Sneha"/>
    <s v="Male"/>
    <n v="46"/>
    <s v="Mumbai"/>
    <x v="1"/>
    <x v="1"/>
    <x v="2"/>
    <x v="0"/>
    <s v="Delivered"/>
    <n v="5"/>
    <n v="2296"/>
    <n v="10906"/>
    <n v="3061.99"/>
  </r>
  <r>
    <s v="ORD0004"/>
    <d v="2024-10-30T00:00:00"/>
    <s v="CUST0004"/>
    <s v="Pooja"/>
    <s v="Female"/>
    <n v="48"/>
    <s v="Chennai"/>
    <x v="2"/>
    <x v="0"/>
    <x v="0"/>
    <x v="2"/>
    <s v="Delivered"/>
    <n v="2"/>
    <n v="24157"/>
    <n v="41066.9"/>
    <n v="9478.23"/>
  </r>
  <r>
    <s v="ORD0005"/>
    <d v="2024-10-06T00:00:00"/>
    <s v="CUST0005"/>
    <s v="Aarav"/>
    <s v="Female"/>
    <n v="23"/>
    <s v="Delhi"/>
    <x v="0"/>
    <x v="2"/>
    <x v="3"/>
    <x v="1"/>
    <s v="Pending"/>
    <n v="4"/>
    <n v="16099"/>
    <n v="61176.2"/>
    <n v="15457.86"/>
  </r>
  <r>
    <s v="ORD0006"/>
    <d v="2024-11-28T00:00:00"/>
    <s v="CUST0006"/>
    <s v="Vikram"/>
    <s v="Male"/>
    <n v="33"/>
    <s v="Pune"/>
    <x v="0"/>
    <x v="0"/>
    <x v="2"/>
    <x v="1"/>
    <s v="Pending"/>
    <n v="5"/>
    <n v="19875"/>
    <n v="79500"/>
    <n v="30192.17"/>
  </r>
  <r>
    <s v="ORD0007"/>
    <d v="2024-11-27T00:00:00"/>
    <s v="CUST0007"/>
    <s v="Rohan"/>
    <s v="Male"/>
    <n v="27"/>
    <s v="Hyderabad"/>
    <x v="0"/>
    <x v="2"/>
    <x v="0"/>
    <x v="3"/>
    <s v="Pending"/>
    <n v="1"/>
    <n v="48768"/>
    <n v="48768"/>
    <n v="16319.33"/>
  </r>
  <r>
    <s v="ORD0008"/>
    <d v="2024-01-05T00:00:00"/>
    <s v="CUST0008"/>
    <s v="Ananya"/>
    <s v="Male"/>
    <n v="56"/>
    <s v="Mumbai"/>
    <x v="0"/>
    <x v="1"/>
    <x v="1"/>
    <x v="1"/>
    <s v="Cancelled"/>
    <n v="2"/>
    <n v="22262"/>
    <n v="37845.4"/>
    <n v="12475.7"/>
  </r>
  <r>
    <s v="ORD0009"/>
    <d v="2024-09-15T00:00:00"/>
    <s v="CUST0009"/>
    <s v="Amit"/>
    <s v="Male"/>
    <n v="21"/>
    <s v="Bangalore"/>
    <x v="0"/>
    <x v="0"/>
    <x v="3"/>
    <x v="0"/>
    <s v="Pending"/>
    <n v="3"/>
    <n v="4064"/>
    <n v="10972.8"/>
    <n v="2448.2800000000002"/>
  </r>
  <r>
    <s v="ORD0010"/>
    <d v="2024-11-12T00:00:00"/>
    <s v="CUST0010"/>
    <s v="Ananya"/>
    <s v="Female"/>
    <n v="47"/>
    <s v="Hyderabad"/>
    <x v="1"/>
    <x v="1"/>
    <x v="4"/>
    <x v="1"/>
    <s v="Returned"/>
    <n v="1"/>
    <n v="1621"/>
    <n v="1296.8"/>
    <n v="475.07"/>
  </r>
  <r>
    <s v="ORD0011"/>
    <d v="2024-07-20T00:00:00"/>
    <s v="CUST0011"/>
    <s v="Pooja"/>
    <s v="Female"/>
    <n v="53"/>
    <s v="Chennai"/>
    <x v="1"/>
    <x v="0"/>
    <x v="1"/>
    <x v="3"/>
    <s v="Pending"/>
    <n v="4"/>
    <n v="34083"/>
    <n v="122698.8"/>
    <n v="37307.06"/>
  </r>
  <r>
    <s v="ORD0012"/>
    <d v="2024-08-19T00:00:00"/>
    <s v="CUST0012"/>
    <s v="Vikram"/>
    <s v="Female"/>
    <n v="29"/>
    <s v="Chennai"/>
    <x v="0"/>
    <x v="1"/>
    <x v="2"/>
    <x v="0"/>
    <s v="Returned"/>
    <n v="5"/>
    <n v="6414"/>
    <n v="25656"/>
    <n v="4873.3500000000004"/>
  </r>
  <r>
    <s v="ORD0013"/>
    <d v="2024-04-08T00:00:00"/>
    <s v="CUST0013"/>
    <s v="Neha"/>
    <s v="Male"/>
    <n v="22"/>
    <s v="Pune"/>
    <x v="2"/>
    <x v="1"/>
    <x v="4"/>
    <x v="0"/>
    <s v="Cancelled"/>
    <n v="5"/>
    <n v="25599"/>
    <n v="115195.5"/>
    <n v="34292.17"/>
  </r>
  <r>
    <s v="ORD0014"/>
    <d v="2024-07-12T00:00:00"/>
    <s v="CUST0014"/>
    <s v="Rahul"/>
    <s v="Male"/>
    <n v="47"/>
    <s v="Pune"/>
    <x v="0"/>
    <x v="1"/>
    <x v="2"/>
    <x v="4"/>
    <s v="Cancelled"/>
    <n v="4"/>
    <n v="20553"/>
    <n v="69880.2"/>
    <n v="15766.99"/>
  </r>
  <r>
    <s v="ORD0015"/>
    <d v="2024-08-28T00:00:00"/>
    <s v="CUST0015"/>
    <s v="Pooja"/>
    <s v="Female"/>
    <n v="53"/>
    <s v="Bangalore"/>
    <x v="0"/>
    <x v="0"/>
    <x v="2"/>
    <x v="1"/>
    <s v="Returned"/>
    <n v="1"/>
    <n v="9133"/>
    <n v="7306.4"/>
    <n v="1882.4"/>
  </r>
  <r>
    <s v="ORD0016"/>
    <d v="2024-01-10T00:00:00"/>
    <s v="CUST0016"/>
    <s v="Pooja"/>
    <s v="Male"/>
    <n v="26"/>
    <s v="Chennai"/>
    <x v="0"/>
    <x v="0"/>
    <x v="3"/>
    <x v="2"/>
    <s v="Pending"/>
    <n v="1"/>
    <n v="3969"/>
    <n v="3373.65"/>
    <n v="1037.75"/>
  </r>
  <r>
    <s v="ORD0017"/>
    <d v="2024-10-20T00:00:00"/>
    <s v="CUST0017"/>
    <s v="Neha"/>
    <s v="Female"/>
    <n v="36"/>
    <s v="Hyderabad"/>
    <x v="0"/>
    <x v="1"/>
    <x v="0"/>
    <x v="3"/>
    <s v="Cancelled"/>
    <n v="4"/>
    <n v="25369"/>
    <n v="101476"/>
    <n v="26192.67"/>
  </r>
  <r>
    <s v="ORD0018"/>
    <d v="2024-09-09T00:00:00"/>
    <s v="CUST0018"/>
    <s v="Rahul"/>
    <s v="Female"/>
    <n v="47"/>
    <s v="Mumbai"/>
    <x v="0"/>
    <x v="1"/>
    <x v="0"/>
    <x v="0"/>
    <s v="Pending"/>
    <n v="3"/>
    <n v="811"/>
    <n v="2068.0500000000002"/>
    <n v="397.59"/>
  </r>
  <r>
    <s v="ORD0019"/>
    <d v="2024-03-04T00:00:00"/>
    <s v="CUST0019"/>
    <s v="Amit"/>
    <s v="Male"/>
    <n v="18"/>
    <s v="Chennai"/>
    <x v="0"/>
    <x v="0"/>
    <x v="1"/>
    <x v="2"/>
    <s v="Returned"/>
    <n v="1"/>
    <n v="44308"/>
    <n v="42092.6"/>
    <n v="16232.85"/>
  </r>
  <r>
    <s v="ORD0020"/>
    <d v="2024-06-28T00:00:00"/>
    <s v="CUST0020"/>
    <s v="Priya"/>
    <s v="Male"/>
    <n v="57"/>
    <s v="Chennai"/>
    <x v="0"/>
    <x v="2"/>
    <x v="4"/>
    <x v="0"/>
    <s v="Delivered"/>
    <n v="5"/>
    <n v="24644"/>
    <n v="104737"/>
    <n v="21777.47"/>
  </r>
  <r>
    <s v="ORD0021"/>
    <d v="2024-04-27T00:00:00"/>
    <s v="CUST0021"/>
    <s v="Pooja"/>
    <s v="Male"/>
    <n v="27"/>
    <s v="Mumbai"/>
    <x v="0"/>
    <x v="2"/>
    <x v="0"/>
    <x v="3"/>
    <s v="Cancelled"/>
    <n v="1"/>
    <n v="3191"/>
    <n v="2552.8000000000002"/>
    <n v="671.87"/>
  </r>
  <r>
    <s v="ORD0022"/>
    <d v="2024-06-02T00:00:00"/>
    <s v="CUST0022"/>
    <s v="Vikram"/>
    <s v="Male"/>
    <n v="55"/>
    <s v="Mumbai"/>
    <x v="0"/>
    <x v="0"/>
    <x v="3"/>
    <x v="3"/>
    <s v="Pending"/>
    <n v="1"/>
    <n v="4790"/>
    <n v="3832"/>
    <n v="1017.42"/>
  </r>
  <r>
    <s v="ORD0023"/>
    <d v="2024-12-26T00:00:00"/>
    <s v="CUST0023"/>
    <s v="Amit"/>
    <s v="Male"/>
    <n v="60"/>
    <s v="Hyderabad"/>
    <x v="0"/>
    <x v="2"/>
    <x v="3"/>
    <x v="4"/>
    <s v="Delivered"/>
    <n v="3"/>
    <n v="36083"/>
    <n v="108249"/>
    <n v="36371.39"/>
  </r>
  <r>
    <s v="ORD0024"/>
    <d v="2024-09-29T00:00:00"/>
    <s v="CUST0024"/>
    <s v="Ananya"/>
    <s v="Male"/>
    <n v="54"/>
    <s v="Hyderabad"/>
    <x v="0"/>
    <x v="2"/>
    <x v="2"/>
    <x v="3"/>
    <s v="Delivered"/>
    <n v="4"/>
    <n v="16789"/>
    <n v="60440.4"/>
    <n v="9225.42"/>
  </r>
  <r>
    <s v="ORD0025"/>
    <d v="2024-11-01T00:00:00"/>
    <s v="CUST0025"/>
    <s v="Neha"/>
    <s v="Female"/>
    <n v="58"/>
    <s v="Mumbai"/>
    <x v="0"/>
    <x v="2"/>
    <x v="2"/>
    <x v="1"/>
    <s v="Cancelled"/>
    <n v="1"/>
    <n v="17566"/>
    <n v="14931.1"/>
    <n v="3289.85"/>
  </r>
  <r>
    <s v="ORD0026"/>
    <d v="2024-05-29T00:00:00"/>
    <s v="CUST0026"/>
    <s v="Sneha"/>
    <s v="Female"/>
    <n v="30"/>
    <s v="Chennai"/>
    <x v="1"/>
    <x v="1"/>
    <x v="2"/>
    <x v="3"/>
    <s v="Returned"/>
    <n v="2"/>
    <n v="44177"/>
    <n v="75100.899999999994"/>
    <n v="25612.75"/>
  </r>
  <r>
    <s v="ORD0027"/>
    <d v="2024-04-02T00:00:00"/>
    <s v="CUST0027"/>
    <s v="Amit"/>
    <s v="Female"/>
    <n v="21"/>
    <s v="Pune"/>
    <x v="0"/>
    <x v="0"/>
    <x v="3"/>
    <x v="2"/>
    <s v="Delivered"/>
    <n v="4"/>
    <n v="14769"/>
    <n v="47260.800000000003"/>
    <n v="8307.44"/>
  </r>
  <r>
    <s v="ORD0028"/>
    <d v="2024-09-04T00:00:00"/>
    <s v="CUST0028"/>
    <s v="Ananya"/>
    <s v="Female"/>
    <n v="32"/>
    <s v="Hyderabad"/>
    <x v="1"/>
    <x v="2"/>
    <x v="4"/>
    <x v="4"/>
    <s v="Delivered"/>
    <n v="3"/>
    <n v="35284"/>
    <n v="105852"/>
    <n v="35503.58"/>
  </r>
  <r>
    <s v="ORD0029"/>
    <d v="2024-04-24T00:00:00"/>
    <s v="CUST0029"/>
    <s v="Vikram"/>
    <s v="Male"/>
    <n v="56"/>
    <s v="Delhi"/>
    <x v="1"/>
    <x v="1"/>
    <x v="0"/>
    <x v="0"/>
    <s v="Cancelled"/>
    <n v="1"/>
    <n v="41414"/>
    <n v="41414"/>
    <n v="11131.07"/>
  </r>
  <r>
    <s v="ORD0030"/>
    <d v="2024-10-28T00:00:00"/>
    <s v="CUST0030"/>
    <s v="Sneha"/>
    <s v="Female"/>
    <n v="26"/>
    <s v="Pune"/>
    <x v="0"/>
    <x v="2"/>
    <x v="0"/>
    <x v="2"/>
    <s v="Pending"/>
    <n v="3"/>
    <n v="1903"/>
    <n v="4567.2"/>
    <n v="1752.68"/>
  </r>
  <r>
    <s v="ORD0031"/>
    <d v="2024-03-06T00:00:00"/>
    <s v="CUST0031"/>
    <s v="Amit"/>
    <s v="Female"/>
    <n v="59"/>
    <s v="Bangalore"/>
    <x v="0"/>
    <x v="1"/>
    <x v="0"/>
    <x v="1"/>
    <s v="Cancelled"/>
    <n v="5"/>
    <n v="2384"/>
    <n v="10132"/>
    <n v="3594.65"/>
  </r>
  <r>
    <s v="ORD0032"/>
    <d v="2024-06-28T00:00:00"/>
    <s v="CUST0032"/>
    <s v="Amit"/>
    <s v="Male"/>
    <n v="18"/>
    <s v="Delhi"/>
    <x v="0"/>
    <x v="1"/>
    <x v="4"/>
    <x v="3"/>
    <s v="Returned"/>
    <n v="1"/>
    <n v="37869"/>
    <n v="30295.200000000001"/>
    <n v="8678.44"/>
  </r>
  <r>
    <s v="ORD0033"/>
    <d v="2024-09-28T00:00:00"/>
    <s v="CUST0033"/>
    <s v="Ananya"/>
    <s v="Male"/>
    <n v="46"/>
    <s v="Pune"/>
    <x v="0"/>
    <x v="1"/>
    <x v="4"/>
    <x v="3"/>
    <s v="Delivered"/>
    <n v="3"/>
    <n v="34381"/>
    <n v="97985.85"/>
    <n v="26651.54"/>
  </r>
  <r>
    <s v="ORD0034"/>
    <d v="2024-08-25T00:00:00"/>
    <s v="CUST0034"/>
    <s v="Vikram"/>
    <s v="Male"/>
    <n v="35"/>
    <s v="Delhi"/>
    <x v="0"/>
    <x v="2"/>
    <x v="2"/>
    <x v="0"/>
    <s v="Pending"/>
    <n v="4"/>
    <n v="27404"/>
    <n v="104135.2"/>
    <n v="39984.47"/>
  </r>
  <r>
    <s v="ORD0035"/>
    <d v="2024-12-04T00:00:00"/>
    <s v="CUST0035"/>
    <s v="Sneha"/>
    <s v="Female"/>
    <n v="28"/>
    <s v="Delhi"/>
    <x v="0"/>
    <x v="1"/>
    <x v="2"/>
    <x v="4"/>
    <s v="Cancelled"/>
    <n v="3"/>
    <n v="3184"/>
    <n v="8119.2"/>
    <n v="2269.52"/>
  </r>
  <r>
    <s v="ORD0036"/>
    <d v="2024-05-03T00:00:00"/>
    <s v="CUST0036"/>
    <s v="Aarav"/>
    <s v="Female"/>
    <n v="41"/>
    <s v="Mumbai"/>
    <x v="1"/>
    <x v="1"/>
    <x v="3"/>
    <x v="2"/>
    <s v="Delivered"/>
    <n v="2"/>
    <n v="31617"/>
    <n v="60072.3"/>
    <n v="16050.29"/>
  </r>
  <r>
    <s v="ORD0037"/>
    <d v="2024-09-05T00:00:00"/>
    <s v="CUST0037"/>
    <s v="Rohan"/>
    <s v="Female"/>
    <n v="40"/>
    <s v="Bangalore"/>
    <x v="0"/>
    <x v="0"/>
    <x v="1"/>
    <x v="1"/>
    <s v="Cancelled"/>
    <n v="4"/>
    <n v="32915"/>
    <n v="125077"/>
    <n v="48673.7"/>
  </r>
  <r>
    <s v="ORD0038"/>
    <d v="2024-10-09T00:00:00"/>
    <s v="CUST0038"/>
    <s v="Rohan"/>
    <s v="Female"/>
    <n v="42"/>
    <s v="Chennai"/>
    <x v="2"/>
    <x v="1"/>
    <x v="0"/>
    <x v="0"/>
    <s v="Pending"/>
    <n v="4"/>
    <n v="14559"/>
    <n v="49500.6"/>
    <n v="10753.5"/>
  </r>
  <r>
    <s v="ORD0039"/>
    <d v="2024-10-02T00:00:00"/>
    <s v="CUST0039"/>
    <s v="Rohan"/>
    <s v="Male"/>
    <n v="31"/>
    <s v="Bangalore"/>
    <x v="1"/>
    <x v="2"/>
    <x v="1"/>
    <x v="1"/>
    <s v="Delivered"/>
    <n v="5"/>
    <n v="25695"/>
    <n v="122051.25"/>
    <n v="22853.7"/>
  </r>
  <r>
    <s v="ORD0040"/>
    <d v="2024-10-13T00:00:00"/>
    <s v="CUST0040"/>
    <s v="Sneha"/>
    <s v="Female"/>
    <n v="47"/>
    <s v="Bangalore"/>
    <x v="0"/>
    <x v="1"/>
    <x v="2"/>
    <x v="3"/>
    <s v="Returned"/>
    <n v="1"/>
    <n v="34443"/>
    <n v="29276.55"/>
    <n v="11616.07"/>
  </r>
  <r>
    <s v="ORD0041"/>
    <d v="2024-09-11T00:00:00"/>
    <s v="CUST0041"/>
    <s v="Rohan"/>
    <s v="Female"/>
    <n v="58"/>
    <s v="Delhi"/>
    <x v="0"/>
    <x v="1"/>
    <x v="2"/>
    <x v="2"/>
    <s v="Returned"/>
    <n v="2"/>
    <n v="37641"/>
    <n v="71517.899999999994"/>
    <n v="15976.18"/>
  </r>
  <r>
    <s v="ORD0042"/>
    <d v="2024-08-07T00:00:00"/>
    <s v="CUST0042"/>
    <s v="Priya"/>
    <s v="Female"/>
    <n v="27"/>
    <s v="Hyderabad"/>
    <x v="2"/>
    <x v="1"/>
    <x v="0"/>
    <x v="4"/>
    <s v="Cancelled"/>
    <n v="3"/>
    <n v="17564"/>
    <n v="42153.599999999999"/>
    <n v="16046.49"/>
  </r>
  <r>
    <s v="ORD0043"/>
    <d v="2024-08-27T00:00:00"/>
    <s v="CUST0043"/>
    <s v="Priya"/>
    <s v="Female"/>
    <n v="56"/>
    <s v="Delhi"/>
    <x v="2"/>
    <x v="0"/>
    <x v="4"/>
    <x v="4"/>
    <s v="Delivered"/>
    <n v="5"/>
    <n v="41500"/>
    <n v="207500"/>
    <n v="36912.870000000003"/>
  </r>
  <r>
    <s v="ORD0044"/>
    <d v="2024-07-27T00:00:00"/>
    <s v="CUST0044"/>
    <s v="Aarav"/>
    <s v="Male"/>
    <n v="40"/>
    <s v="Delhi"/>
    <x v="0"/>
    <x v="2"/>
    <x v="3"/>
    <x v="0"/>
    <s v="Delivered"/>
    <n v="4"/>
    <n v="3357"/>
    <n v="11413.8"/>
    <n v="3414.04"/>
  </r>
  <r>
    <s v="ORD0045"/>
    <d v="2024-09-21T00:00:00"/>
    <s v="CUST0045"/>
    <s v="Amit"/>
    <s v="Male"/>
    <n v="40"/>
    <s v="Delhi"/>
    <x v="1"/>
    <x v="0"/>
    <x v="2"/>
    <x v="0"/>
    <s v="Delivered"/>
    <n v="1"/>
    <n v="49108"/>
    <n v="49108"/>
    <n v="18713.96"/>
  </r>
  <r>
    <s v="ORD0046"/>
    <d v="2024-02-23T00:00:00"/>
    <s v="CUST0046"/>
    <s v="Sneha"/>
    <s v="Male"/>
    <n v="60"/>
    <s v="Mumbai"/>
    <x v="2"/>
    <x v="0"/>
    <x v="4"/>
    <x v="0"/>
    <s v="Pending"/>
    <n v="1"/>
    <n v="39685"/>
    <n v="35716.5"/>
    <n v="7510.49"/>
  </r>
  <r>
    <s v="ORD0047"/>
    <d v="2024-01-23T00:00:00"/>
    <s v="CUST0047"/>
    <s v="Rohan"/>
    <s v="Male"/>
    <n v="53"/>
    <s v="Mumbai"/>
    <x v="0"/>
    <x v="2"/>
    <x v="3"/>
    <x v="2"/>
    <s v="Returned"/>
    <n v="3"/>
    <n v="2152"/>
    <n v="6456"/>
    <n v="1902.59"/>
  </r>
  <r>
    <s v="ORD0048"/>
    <d v="2024-12-06T00:00:00"/>
    <s v="CUST0048"/>
    <s v="Priya"/>
    <s v="Female"/>
    <n v="51"/>
    <s v="Chennai"/>
    <x v="2"/>
    <x v="2"/>
    <x v="0"/>
    <x v="0"/>
    <s v="Pending"/>
    <n v="3"/>
    <n v="1425"/>
    <n v="3420"/>
    <n v="1115.29"/>
  </r>
  <r>
    <s v="ORD0049"/>
    <d v="2024-03-18T00:00:00"/>
    <s v="CUST0049"/>
    <s v="Rahul"/>
    <s v="Female"/>
    <n v="39"/>
    <s v="Chennai"/>
    <x v="0"/>
    <x v="2"/>
    <x v="2"/>
    <x v="0"/>
    <s v="Returned"/>
    <n v="5"/>
    <n v="34301"/>
    <n v="154354.5"/>
    <n v="55625.25"/>
  </r>
  <r>
    <s v="ORD0050"/>
    <d v="2024-12-22T00:00:00"/>
    <s v="CUST0050"/>
    <s v="Vikram"/>
    <s v="Male"/>
    <n v="38"/>
    <s v="Delhi"/>
    <x v="0"/>
    <x v="1"/>
    <x v="2"/>
    <x v="0"/>
    <s v="Returned"/>
    <n v="5"/>
    <n v="13180"/>
    <n v="65900"/>
    <n v="10801.19"/>
  </r>
  <r>
    <s v="ORD0051"/>
    <d v="2024-05-25T00:00:00"/>
    <s v="CUST0051"/>
    <s v="Pooja"/>
    <s v="Female"/>
    <n v="20"/>
    <s v="Hyderabad"/>
    <x v="0"/>
    <x v="1"/>
    <x v="3"/>
    <x v="4"/>
    <s v="Cancelled"/>
    <n v="5"/>
    <n v="40570"/>
    <n v="172422.5"/>
    <n v="43557.14"/>
  </r>
  <r>
    <s v="ORD0052"/>
    <d v="2024-09-19T00:00:00"/>
    <s v="CUST0052"/>
    <s v="Aarav"/>
    <s v="Male"/>
    <n v="32"/>
    <s v="Pune"/>
    <x v="0"/>
    <x v="1"/>
    <x v="4"/>
    <x v="1"/>
    <s v="Pending"/>
    <n v="1"/>
    <n v="26902"/>
    <n v="21521.599999999999"/>
    <n v="6955.57"/>
  </r>
  <r>
    <s v="ORD0053"/>
    <d v="2024-05-18T00:00:00"/>
    <s v="CUST0053"/>
    <s v="Vikram"/>
    <s v="Female"/>
    <n v="25"/>
    <s v="Chennai"/>
    <x v="0"/>
    <x v="1"/>
    <x v="1"/>
    <x v="2"/>
    <s v="Pending"/>
    <n v="5"/>
    <n v="22915"/>
    <n v="114575"/>
    <n v="39746.910000000003"/>
  </r>
  <r>
    <s v="ORD0054"/>
    <d v="2024-08-24T00:00:00"/>
    <s v="CUST0054"/>
    <s v="Neha"/>
    <s v="Female"/>
    <n v="52"/>
    <s v="Delhi"/>
    <x v="0"/>
    <x v="1"/>
    <x v="0"/>
    <x v="2"/>
    <s v="Returned"/>
    <n v="5"/>
    <n v="10061"/>
    <n v="50305"/>
    <n v="9422.7999999999993"/>
  </r>
  <r>
    <s v="ORD0055"/>
    <d v="2024-08-08T00:00:00"/>
    <s v="CUST0055"/>
    <s v="Aarav"/>
    <s v="Female"/>
    <n v="21"/>
    <s v="Mumbai"/>
    <x v="1"/>
    <x v="0"/>
    <x v="2"/>
    <x v="1"/>
    <s v="Delivered"/>
    <n v="4"/>
    <n v="37816"/>
    <n v="136137.60000000001"/>
    <n v="38361.69"/>
  </r>
  <r>
    <s v="ORD0056"/>
    <d v="2024-04-18T00:00:00"/>
    <s v="CUST0056"/>
    <s v="Ananya"/>
    <s v="Female"/>
    <n v="55"/>
    <s v="Chennai"/>
    <x v="1"/>
    <x v="2"/>
    <x v="3"/>
    <x v="1"/>
    <s v="Delivered"/>
    <n v="2"/>
    <n v="17781"/>
    <n v="33783.9"/>
    <n v="5087.43"/>
  </r>
  <r>
    <s v="ORD0057"/>
    <d v="2024-02-16T00:00:00"/>
    <s v="CUST0057"/>
    <s v="Aarav"/>
    <s v="Male"/>
    <n v="60"/>
    <s v="Delhi"/>
    <x v="2"/>
    <x v="0"/>
    <x v="4"/>
    <x v="0"/>
    <s v="Returned"/>
    <n v="2"/>
    <n v="34959"/>
    <n v="62926.2"/>
    <n v="19136.34"/>
  </r>
  <r>
    <s v="ORD0058"/>
    <d v="2024-11-10T00:00:00"/>
    <s v="CUST0058"/>
    <s v="Neha"/>
    <s v="Female"/>
    <n v="25"/>
    <s v="Pune"/>
    <x v="0"/>
    <x v="1"/>
    <x v="2"/>
    <x v="0"/>
    <s v="Returned"/>
    <n v="5"/>
    <n v="44898"/>
    <n v="213265.5"/>
    <n v="55381.94"/>
  </r>
  <r>
    <s v="ORD0059"/>
    <d v="2024-12-07T00:00:00"/>
    <s v="CUST0059"/>
    <s v="Ananya"/>
    <s v="Female"/>
    <n v="42"/>
    <s v="Chennai"/>
    <x v="0"/>
    <x v="1"/>
    <x v="3"/>
    <x v="2"/>
    <s v="Returned"/>
    <n v="4"/>
    <n v="8562"/>
    <n v="30823.200000000001"/>
    <n v="11058.6"/>
  </r>
  <r>
    <s v="ORD0060"/>
    <d v="2024-09-12T00:00:00"/>
    <s v="CUST0060"/>
    <s v="Aarav"/>
    <s v="Male"/>
    <n v="20"/>
    <s v="Mumbai"/>
    <x v="0"/>
    <x v="1"/>
    <x v="2"/>
    <x v="4"/>
    <s v="Pending"/>
    <n v="1"/>
    <n v="47996"/>
    <n v="40796.6"/>
    <n v="12574.81"/>
  </r>
  <r>
    <s v="ORD0061"/>
    <d v="2024-12-22T00:00:00"/>
    <s v="CUST0061"/>
    <s v="Amit"/>
    <s v="Male"/>
    <n v="53"/>
    <s v="Hyderabad"/>
    <x v="2"/>
    <x v="2"/>
    <x v="1"/>
    <x v="3"/>
    <s v="Returned"/>
    <n v="1"/>
    <n v="37081"/>
    <n v="37081"/>
    <n v="9553.67"/>
  </r>
  <r>
    <s v="ORD0062"/>
    <d v="2024-11-08T00:00:00"/>
    <s v="CUST0062"/>
    <s v="Amit"/>
    <s v="Female"/>
    <n v="35"/>
    <s v="Bangalore"/>
    <x v="2"/>
    <x v="2"/>
    <x v="2"/>
    <x v="4"/>
    <s v="Cancelled"/>
    <n v="3"/>
    <n v="5997"/>
    <n v="16191.9"/>
    <n v="2582.4299999999998"/>
  </r>
  <r>
    <s v="ORD0063"/>
    <d v="2024-06-12T00:00:00"/>
    <s v="CUST0063"/>
    <s v="Rahul"/>
    <s v="Female"/>
    <n v="55"/>
    <s v="Bangalore"/>
    <x v="1"/>
    <x v="2"/>
    <x v="0"/>
    <x v="3"/>
    <s v="Pending"/>
    <n v="2"/>
    <n v="22997"/>
    <n v="43694.3"/>
    <n v="12657.99"/>
  </r>
  <r>
    <s v="ORD0064"/>
    <d v="2024-01-08T00:00:00"/>
    <s v="CUST0064"/>
    <s v="Rahul"/>
    <s v="Female"/>
    <n v="31"/>
    <s v="Hyderabad"/>
    <x v="2"/>
    <x v="0"/>
    <x v="3"/>
    <x v="0"/>
    <s v="Cancelled"/>
    <n v="4"/>
    <n v="44985"/>
    <n v="143952"/>
    <n v="51936.74"/>
  </r>
  <r>
    <s v="ORD0065"/>
    <d v="2024-09-06T00:00:00"/>
    <s v="CUST0065"/>
    <s v="Ananya"/>
    <s v="Female"/>
    <n v="36"/>
    <s v="Mumbai"/>
    <x v="0"/>
    <x v="1"/>
    <x v="2"/>
    <x v="1"/>
    <s v="Pending"/>
    <n v="3"/>
    <n v="11434"/>
    <n v="29156.7"/>
    <n v="6799.41"/>
  </r>
  <r>
    <s v="ORD0066"/>
    <d v="2024-02-04T00:00:00"/>
    <s v="CUST0066"/>
    <s v="Neha"/>
    <s v="Male"/>
    <n v="18"/>
    <s v="Delhi"/>
    <x v="1"/>
    <x v="0"/>
    <x v="2"/>
    <x v="1"/>
    <s v="Cancelled"/>
    <n v="5"/>
    <n v="2499"/>
    <n v="11870.25"/>
    <n v="2102.87"/>
  </r>
  <r>
    <s v="ORD0067"/>
    <d v="2024-07-18T00:00:00"/>
    <s v="CUST0067"/>
    <s v="Pooja"/>
    <s v="Male"/>
    <n v="18"/>
    <s v="Pune"/>
    <x v="0"/>
    <x v="2"/>
    <x v="1"/>
    <x v="0"/>
    <s v="Returned"/>
    <n v="1"/>
    <n v="49692"/>
    <n v="44722.8"/>
    <n v="11782.53"/>
  </r>
  <r>
    <s v="ORD0068"/>
    <d v="2024-10-02T00:00:00"/>
    <s v="CUST0068"/>
    <s v="Neha"/>
    <s v="Male"/>
    <n v="40"/>
    <s v="Pune"/>
    <x v="0"/>
    <x v="1"/>
    <x v="2"/>
    <x v="4"/>
    <s v="Returned"/>
    <n v="4"/>
    <n v="26736"/>
    <n v="85555.199999999997"/>
    <n v="13596.44"/>
  </r>
  <r>
    <s v="ORD0069"/>
    <d v="2024-08-18T00:00:00"/>
    <s v="CUST0069"/>
    <s v="Priya"/>
    <s v="Male"/>
    <n v="20"/>
    <s v="Hyderabad"/>
    <x v="1"/>
    <x v="1"/>
    <x v="4"/>
    <x v="3"/>
    <s v="Cancelled"/>
    <n v="3"/>
    <n v="37422"/>
    <n v="106652.7"/>
    <n v="21057.13"/>
  </r>
  <r>
    <s v="ORD0070"/>
    <d v="2024-05-09T00:00:00"/>
    <s v="CUST0070"/>
    <s v="Neha"/>
    <s v="Female"/>
    <n v="43"/>
    <s v="Hyderabad"/>
    <x v="0"/>
    <x v="0"/>
    <x v="0"/>
    <x v="0"/>
    <s v="Pending"/>
    <n v="2"/>
    <n v="15619"/>
    <n v="28114.2"/>
    <n v="7615.98"/>
  </r>
  <r>
    <s v="ORD0071"/>
    <d v="2024-06-23T00:00:00"/>
    <s v="CUST0071"/>
    <s v="Pooja"/>
    <s v="Male"/>
    <n v="42"/>
    <s v="Bangalore"/>
    <x v="0"/>
    <x v="2"/>
    <x v="1"/>
    <x v="1"/>
    <s v="Returned"/>
    <n v="2"/>
    <n v="28059"/>
    <n v="56118"/>
    <n v="11407.05"/>
  </r>
  <r>
    <s v="ORD0072"/>
    <d v="2024-08-02T00:00:00"/>
    <s v="CUST0072"/>
    <s v="Neha"/>
    <s v="Male"/>
    <n v="53"/>
    <s v="Hyderabad"/>
    <x v="2"/>
    <x v="2"/>
    <x v="0"/>
    <x v="4"/>
    <s v="Delivered"/>
    <n v="1"/>
    <n v="20497"/>
    <n v="20497"/>
    <n v="4978.24"/>
  </r>
  <r>
    <s v="ORD0073"/>
    <d v="2024-05-27T00:00:00"/>
    <s v="CUST0073"/>
    <s v="Amit"/>
    <s v="Male"/>
    <n v="35"/>
    <s v="Pune"/>
    <x v="0"/>
    <x v="0"/>
    <x v="0"/>
    <x v="4"/>
    <s v="Delivered"/>
    <n v="2"/>
    <n v="17693"/>
    <n v="28308.799999999999"/>
    <n v="10690.86"/>
  </r>
  <r>
    <s v="ORD0074"/>
    <d v="2024-11-14T00:00:00"/>
    <s v="CUST0074"/>
    <s v="Aarav"/>
    <s v="Male"/>
    <n v="59"/>
    <s v="Mumbai"/>
    <x v="0"/>
    <x v="0"/>
    <x v="2"/>
    <x v="2"/>
    <s v="Delivered"/>
    <n v="3"/>
    <n v="8783"/>
    <n v="23714.1"/>
    <n v="7779.65"/>
  </r>
  <r>
    <s v="ORD0075"/>
    <d v="2024-09-10T00:00:00"/>
    <s v="CUST0075"/>
    <s v="Rohan"/>
    <s v="Female"/>
    <n v="37"/>
    <s v="Hyderabad"/>
    <x v="0"/>
    <x v="0"/>
    <x v="1"/>
    <x v="4"/>
    <s v="Pending"/>
    <n v="4"/>
    <n v="38829"/>
    <n v="139784.4"/>
    <n v="22706.67"/>
  </r>
  <r>
    <s v="ORD0076"/>
    <d v="2024-08-09T00:00:00"/>
    <s v="CUST0076"/>
    <s v="Rohan"/>
    <s v="Male"/>
    <n v="27"/>
    <s v="Delhi"/>
    <x v="0"/>
    <x v="0"/>
    <x v="0"/>
    <x v="2"/>
    <s v="Cancelled"/>
    <n v="5"/>
    <n v="32053"/>
    <n v="160265"/>
    <n v="61934.7"/>
  </r>
  <r>
    <s v="ORD0077"/>
    <d v="2024-05-20T00:00:00"/>
    <s v="CUST0077"/>
    <s v="Vikram"/>
    <s v="Female"/>
    <n v="42"/>
    <s v="Hyderabad"/>
    <x v="0"/>
    <x v="0"/>
    <x v="3"/>
    <x v="4"/>
    <s v="Pending"/>
    <n v="2"/>
    <n v="37968"/>
    <n v="68342.399999999994"/>
    <n v="17847.93"/>
  </r>
  <r>
    <s v="ORD0078"/>
    <d v="2024-04-24T00:00:00"/>
    <s v="CUST0078"/>
    <s v="Sneha"/>
    <s v="Female"/>
    <n v="24"/>
    <s v="Mumbai"/>
    <x v="2"/>
    <x v="2"/>
    <x v="1"/>
    <x v="3"/>
    <s v="Delivered"/>
    <n v="2"/>
    <n v="8455"/>
    <n v="13528"/>
    <n v="3113.91"/>
  </r>
  <r>
    <s v="ORD0079"/>
    <d v="2024-07-29T00:00:00"/>
    <s v="CUST0079"/>
    <s v="Rohan"/>
    <s v="Male"/>
    <n v="36"/>
    <s v="Chennai"/>
    <x v="2"/>
    <x v="0"/>
    <x v="1"/>
    <x v="0"/>
    <s v="Delivered"/>
    <n v="1"/>
    <n v="44054"/>
    <n v="37445.9"/>
    <n v="12098.3"/>
  </r>
  <r>
    <s v="ORD0080"/>
    <d v="2024-07-18T00:00:00"/>
    <s v="CUST0080"/>
    <s v="Sneha"/>
    <s v="Female"/>
    <n v="43"/>
    <s v="Chennai"/>
    <x v="1"/>
    <x v="0"/>
    <x v="3"/>
    <x v="3"/>
    <s v="Delivered"/>
    <n v="4"/>
    <n v="36271"/>
    <n v="116067.2"/>
    <n v="25549.29"/>
  </r>
  <r>
    <s v="ORD0081"/>
    <d v="2024-10-28T00:00:00"/>
    <s v="CUST0081"/>
    <s v="Amit"/>
    <s v="Male"/>
    <n v="39"/>
    <s v="Bangalore"/>
    <x v="0"/>
    <x v="1"/>
    <x v="0"/>
    <x v="4"/>
    <s v="Returned"/>
    <n v="5"/>
    <n v="24251"/>
    <n v="103066.75"/>
    <n v="37835.5"/>
  </r>
  <r>
    <s v="ORD0082"/>
    <d v="2024-05-20T00:00:00"/>
    <s v="CUST0082"/>
    <s v="Amit"/>
    <s v="Female"/>
    <n v="60"/>
    <s v="Chennai"/>
    <x v="0"/>
    <x v="0"/>
    <x v="2"/>
    <x v="2"/>
    <s v="Pending"/>
    <n v="1"/>
    <n v="14176"/>
    <n v="14176"/>
    <n v="5087.21"/>
  </r>
  <r>
    <s v="ORD0083"/>
    <d v="2024-01-16T00:00:00"/>
    <s v="CUST0083"/>
    <s v="Aarav"/>
    <s v="Female"/>
    <n v="36"/>
    <s v="Hyderabad"/>
    <x v="0"/>
    <x v="2"/>
    <x v="4"/>
    <x v="2"/>
    <s v="Delivered"/>
    <n v="5"/>
    <n v="38946"/>
    <n v="175257"/>
    <n v="66241.440000000002"/>
  </r>
  <r>
    <s v="ORD0084"/>
    <d v="2024-06-13T00:00:00"/>
    <s v="CUST0084"/>
    <s v="Neha"/>
    <s v="Female"/>
    <n v="60"/>
    <s v="Hyderabad"/>
    <x v="0"/>
    <x v="0"/>
    <x v="4"/>
    <x v="1"/>
    <s v="Cancelled"/>
    <n v="1"/>
    <n v="43528"/>
    <n v="43528"/>
    <n v="12033.15"/>
  </r>
  <r>
    <s v="ORD0085"/>
    <d v="2024-12-17T00:00:00"/>
    <s v="CUST0085"/>
    <s v="Rahul"/>
    <s v="Female"/>
    <n v="31"/>
    <s v="Hyderabad"/>
    <x v="2"/>
    <x v="1"/>
    <x v="2"/>
    <x v="1"/>
    <s v="Pending"/>
    <n v="5"/>
    <n v="13432"/>
    <n v="57086"/>
    <n v="10482.790000000001"/>
  </r>
  <r>
    <s v="ORD0086"/>
    <d v="2024-11-30T00:00:00"/>
    <s v="CUST0086"/>
    <s v="Aarav"/>
    <s v="Male"/>
    <n v="27"/>
    <s v="Mumbai"/>
    <x v="1"/>
    <x v="2"/>
    <x v="1"/>
    <x v="4"/>
    <s v="Pending"/>
    <n v="1"/>
    <n v="39310"/>
    <n v="37344.5"/>
    <n v="14832.59"/>
  </r>
  <r>
    <s v="ORD0087"/>
    <d v="2024-08-04T00:00:00"/>
    <s v="CUST0087"/>
    <s v="Priya"/>
    <s v="Female"/>
    <n v="27"/>
    <s v="Pune"/>
    <x v="1"/>
    <x v="2"/>
    <x v="1"/>
    <x v="3"/>
    <s v="Cancelled"/>
    <n v="3"/>
    <n v="34190"/>
    <n v="82056"/>
    <n v="20046.060000000001"/>
  </r>
  <r>
    <s v="ORD0088"/>
    <d v="2024-07-02T00:00:00"/>
    <s v="CUST0088"/>
    <s v="Vikram"/>
    <s v="Male"/>
    <n v="21"/>
    <s v="Bangalore"/>
    <x v="0"/>
    <x v="2"/>
    <x v="1"/>
    <x v="3"/>
    <s v="Cancelled"/>
    <n v="3"/>
    <n v="8105"/>
    <n v="24315"/>
    <n v="9377.0499999999993"/>
  </r>
  <r>
    <s v="ORD0089"/>
    <d v="2024-04-08T00:00:00"/>
    <s v="CUST0089"/>
    <s v="Vikram"/>
    <s v="Male"/>
    <n v="23"/>
    <s v="Pune"/>
    <x v="2"/>
    <x v="1"/>
    <x v="0"/>
    <x v="1"/>
    <s v="Delivered"/>
    <n v="3"/>
    <n v="22480"/>
    <n v="64068"/>
    <n v="14076.47"/>
  </r>
  <r>
    <s v="ORD0090"/>
    <d v="2024-02-23T00:00:00"/>
    <s v="CUST0090"/>
    <s v="Vikram"/>
    <s v="Female"/>
    <n v="53"/>
    <s v="Mumbai"/>
    <x v="1"/>
    <x v="0"/>
    <x v="4"/>
    <x v="4"/>
    <s v="Pending"/>
    <n v="2"/>
    <n v="36928"/>
    <n v="59084.800000000003"/>
    <n v="14346.14"/>
  </r>
  <r>
    <s v="ORD0091"/>
    <d v="2024-06-11T00:00:00"/>
    <s v="CUST0091"/>
    <s v="Amit"/>
    <s v="Male"/>
    <n v="25"/>
    <s v="Pune"/>
    <x v="0"/>
    <x v="1"/>
    <x v="1"/>
    <x v="1"/>
    <s v="Delivered"/>
    <n v="4"/>
    <n v="49169"/>
    <n v="186842.2"/>
    <n v="38308.79"/>
  </r>
  <r>
    <s v="ORD0092"/>
    <d v="2024-10-08T00:00:00"/>
    <s v="CUST0092"/>
    <s v="Vikram"/>
    <s v="Female"/>
    <n v="41"/>
    <s v="Mumbai"/>
    <x v="1"/>
    <x v="1"/>
    <x v="4"/>
    <x v="1"/>
    <s v="Pending"/>
    <n v="4"/>
    <n v="22015"/>
    <n v="74851"/>
    <n v="18114.43"/>
  </r>
  <r>
    <s v="ORD0093"/>
    <d v="2024-12-23T00:00:00"/>
    <s v="CUST0093"/>
    <s v="Aarav"/>
    <s v="Male"/>
    <n v="20"/>
    <s v="Hyderabad"/>
    <x v="0"/>
    <x v="2"/>
    <x v="0"/>
    <x v="4"/>
    <s v="Delivered"/>
    <n v="2"/>
    <n v="8133"/>
    <n v="14639.4"/>
    <n v="3741.16"/>
  </r>
  <r>
    <s v="ORD0094"/>
    <d v="2024-05-21T00:00:00"/>
    <s v="CUST0094"/>
    <s v="Amit"/>
    <s v="Female"/>
    <n v="39"/>
    <s v="Mumbai"/>
    <x v="0"/>
    <x v="1"/>
    <x v="4"/>
    <x v="0"/>
    <s v="Returned"/>
    <n v="1"/>
    <n v="9633"/>
    <n v="7706.4"/>
    <n v="2563.7600000000002"/>
  </r>
  <r>
    <s v="ORD0095"/>
    <d v="2024-09-29T00:00:00"/>
    <s v="CUST0095"/>
    <s v="Sneha"/>
    <s v="Male"/>
    <n v="47"/>
    <s v="Pune"/>
    <x v="2"/>
    <x v="2"/>
    <x v="0"/>
    <x v="1"/>
    <s v="Cancelled"/>
    <n v="3"/>
    <n v="3708"/>
    <n v="10567.8"/>
    <n v="2317.58"/>
  </r>
  <r>
    <s v="ORD0096"/>
    <d v="2024-06-16T00:00:00"/>
    <s v="CUST0096"/>
    <s v="Ananya"/>
    <s v="Male"/>
    <n v="56"/>
    <s v="Chennai"/>
    <x v="1"/>
    <x v="1"/>
    <x v="3"/>
    <x v="1"/>
    <s v="Pending"/>
    <n v="5"/>
    <n v="29654"/>
    <n v="126029.5"/>
    <n v="50398.53"/>
  </r>
  <r>
    <s v="ORD0097"/>
    <d v="2024-01-13T00:00:00"/>
    <s v="CUST0097"/>
    <s v="Priya"/>
    <s v="Male"/>
    <n v="20"/>
    <s v="Hyderabad"/>
    <x v="0"/>
    <x v="1"/>
    <x v="4"/>
    <x v="1"/>
    <s v="Returned"/>
    <n v="1"/>
    <n v="11542"/>
    <n v="9810.7000000000007"/>
    <n v="3647.77"/>
  </r>
  <r>
    <s v="ORD0098"/>
    <d v="2024-02-14T00:00:00"/>
    <s v="CUST0098"/>
    <s v="Amit"/>
    <s v="Male"/>
    <n v="26"/>
    <s v="Pune"/>
    <x v="0"/>
    <x v="0"/>
    <x v="2"/>
    <x v="0"/>
    <s v="Cancelled"/>
    <n v="3"/>
    <n v="39499"/>
    <n v="106647.3"/>
    <n v="29891.91"/>
  </r>
  <r>
    <s v="ORD0099"/>
    <d v="2024-06-02T00:00:00"/>
    <s v="CUST0099"/>
    <s v="Amit"/>
    <s v="Male"/>
    <n v="35"/>
    <s v="Chennai"/>
    <x v="0"/>
    <x v="0"/>
    <x v="3"/>
    <x v="2"/>
    <s v="Returned"/>
    <n v="1"/>
    <n v="16617"/>
    <n v="15786.15"/>
    <n v="3241.87"/>
  </r>
  <r>
    <s v="ORD0100"/>
    <d v="2024-02-13T00:00:00"/>
    <s v="CUST0100"/>
    <s v="Aarav"/>
    <s v="Male"/>
    <n v="52"/>
    <s v="Delhi"/>
    <x v="0"/>
    <x v="0"/>
    <x v="3"/>
    <x v="2"/>
    <s v="Returned"/>
    <n v="4"/>
    <n v="48508"/>
    <n v="174628.8"/>
    <n v="56540.53"/>
  </r>
  <r>
    <s v="ORD0101"/>
    <d v="2024-11-05T00:00:00"/>
    <s v="CUST0101"/>
    <s v="Neha"/>
    <s v="Female"/>
    <n v="41"/>
    <s v="Hyderabad"/>
    <x v="1"/>
    <x v="0"/>
    <x v="0"/>
    <x v="3"/>
    <s v="Delivered"/>
    <n v="4"/>
    <n v="44149"/>
    <n v="158936.4"/>
    <n v="52214.89"/>
  </r>
  <r>
    <s v="ORD0102"/>
    <d v="2024-07-06T00:00:00"/>
    <s v="CUST0102"/>
    <s v="Aarav"/>
    <s v="Female"/>
    <n v="46"/>
    <s v="Hyderabad"/>
    <x v="2"/>
    <x v="2"/>
    <x v="2"/>
    <x v="3"/>
    <s v="Pending"/>
    <n v="4"/>
    <n v="6679"/>
    <n v="22708.6"/>
    <n v="5224.13"/>
  </r>
  <r>
    <s v="ORD0103"/>
    <d v="2024-02-26T00:00:00"/>
    <s v="CUST0103"/>
    <s v="Pooja"/>
    <s v="Male"/>
    <n v="60"/>
    <s v="Delhi"/>
    <x v="2"/>
    <x v="1"/>
    <x v="3"/>
    <x v="4"/>
    <s v="Returned"/>
    <n v="1"/>
    <n v="42360"/>
    <n v="38124"/>
    <n v="6995.67"/>
  </r>
  <r>
    <s v="ORD0104"/>
    <d v="2024-10-18T00:00:00"/>
    <s v="CUST0104"/>
    <s v="Priya"/>
    <s v="Male"/>
    <n v="28"/>
    <s v="Mumbai"/>
    <x v="0"/>
    <x v="2"/>
    <x v="0"/>
    <x v="1"/>
    <s v="Returned"/>
    <n v="4"/>
    <n v="4948"/>
    <n v="15833.6"/>
    <n v="3492.5"/>
  </r>
  <r>
    <s v="ORD0105"/>
    <d v="2024-08-10T00:00:00"/>
    <s v="CUST0105"/>
    <s v="Amit"/>
    <s v="Female"/>
    <n v="31"/>
    <s v="Hyderabad"/>
    <x v="2"/>
    <x v="1"/>
    <x v="4"/>
    <x v="3"/>
    <s v="Pending"/>
    <n v="5"/>
    <n v="21592"/>
    <n v="102562"/>
    <n v="35432.03"/>
  </r>
  <r>
    <s v="ORD0106"/>
    <d v="2024-07-15T00:00:00"/>
    <s v="CUST0106"/>
    <s v="Neha"/>
    <s v="Female"/>
    <n v="48"/>
    <s v="Mumbai"/>
    <x v="0"/>
    <x v="1"/>
    <x v="1"/>
    <x v="1"/>
    <s v="Pending"/>
    <n v="5"/>
    <n v="20186"/>
    <n v="90837"/>
    <n v="17703.27"/>
  </r>
  <r>
    <s v="ORD0107"/>
    <d v="2024-08-24T00:00:00"/>
    <s v="CUST0107"/>
    <s v="Amit"/>
    <s v="Male"/>
    <n v="52"/>
    <s v="Mumbai"/>
    <x v="0"/>
    <x v="2"/>
    <x v="2"/>
    <x v="0"/>
    <s v="Pending"/>
    <n v="2"/>
    <n v="24592"/>
    <n v="39347.199999999997"/>
    <n v="9310.25"/>
  </r>
  <r>
    <s v="ORD0108"/>
    <d v="2024-10-07T00:00:00"/>
    <s v="CUST0108"/>
    <s v="Rahul"/>
    <s v="Female"/>
    <n v="27"/>
    <s v="Bangalore"/>
    <x v="0"/>
    <x v="1"/>
    <x v="2"/>
    <x v="1"/>
    <s v="Cancelled"/>
    <n v="4"/>
    <n v="46157"/>
    <n v="166165.20000000001"/>
    <n v="38543.99"/>
  </r>
  <r>
    <s v="ORD0109"/>
    <d v="2024-01-22T00:00:00"/>
    <s v="CUST0109"/>
    <s v="Amit"/>
    <s v="Female"/>
    <n v="24"/>
    <s v="Chennai"/>
    <x v="2"/>
    <x v="2"/>
    <x v="0"/>
    <x v="0"/>
    <s v="Returned"/>
    <n v="5"/>
    <n v="43400"/>
    <n v="184450"/>
    <n v="28526.37"/>
  </r>
  <r>
    <s v="ORD0110"/>
    <d v="2024-03-27T00:00:00"/>
    <s v="CUST0110"/>
    <s v="Priya"/>
    <s v="Male"/>
    <n v="31"/>
    <s v="Hyderabad"/>
    <x v="0"/>
    <x v="0"/>
    <x v="3"/>
    <x v="4"/>
    <s v="Delivered"/>
    <n v="1"/>
    <n v="17795"/>
    <n v="14236"/>
    <n v="3933.24"/>
  </r>
  <r>
    <s v="ORD0111"/>
    <d v="2024-10-18T00:00:00"/>
    <s v="CUST0111"/>
    <s v="Rahul"/>
    <s v="Male"/>
    <n v="39"/>
    <s v="Chennai"/>
    <x v="0"/>
    <x v="0"/>
    <x v="3"/>
    <x v="1"/>
    <s v="Pending"/>
    <n v="5"/>
    <n v="41936"/>
    <n v="178228"/>
    <n v="44421.97"/>
  </r>
  <r>
    <s v="ORD0112"/>
    <d v="2024-04-21T00:00:00"/>
    <s v="CUST0112"/>
    <s v="Neha"/>
    <s v="Male"/>
    <n v="45"/>
    <s v="Pune"/>
    <x v="0"/>
    <x v="1"/>
    <x v="1"/>
    <x v="1"/>
    <s v="Delivered"/>
    <n v="3"/>
    <n v="16296"/>
    <n v="41554.800000000003"/>
    <n v="13790.12"/>
  </r>
  <r>
    <s v="ORD0113"/>
    <d v="2024-01-02T00:00:00"/>
    <s v="CUST0113"/>
    <s v="Vikram"/>
    <s v="Female"/>
    <n v="42"/>
    <s v="Bangalore"/>
    <x v="0"/>
    <x v="2"/>
    <x v="4"/>
    <x v="2"/>
    <s v="Returned"/>
    <n v="2"/>
    <n v="33242"/>
    <n v="53187.199999999997"/>
    <n v="13698.21"/>
  </r>
  <r>
    <s v="ORD0114"/>
    <d v="2024-09-02T00:00:00"/>
    <s v="CUST0114"/>
    <s v="Priya"/>
    <s v="Male"/>
    <n v="38"/>
    <s v="Pune"/>
    <x v="0"/>
    <x v="0"/>
    <x v="0"/>
    <x v="2"/>
    <s v="Pending"/>
    <n v="1"/>
    <n v="48332"/>
    <n v="41082.199999999997"/>
    <n v="12163.4"/>
  </r>
  <r>
    <s v="ORD0115"/>
    <d v="2024-07-26T00:00:00"/>
    <s v="CUST0115"/>
    <s v="Neha"/>
    <s v="Female"/>
    <n v="18"/>
    <s v="Pune"/>
    <x v="0"/>
    <x v="0"/>
    <x v="3"/>
    <x v="2"/>
    <s v="Delivered"/>
    <n v="4"/>
    <n v="27132"/>
    <n v="108528"/>
    <n v="29113.23"/>
  </r>
  <r>
    <s v="ORD0116"/>
    <d v="2024-04-17T00:00:00"/>
    <s v="CUST0116"/>
    <s v="Pooja"/>
    <s v="Male"/>
    <n v="22"/>
    <s v="Pune"/>
    <x v="2"/>
    <x v="0"/>
    <x v="3"/>
    <x v="1"/>
    <s v="Returned"/>
    <n v="3"/>
    <n v="27369"/>
    <n v="73896.3"/>
    <n v="15443.52"/>
  </r>
  <r>
    <s v="ORD0117"/>
    <d v="2024-03-01T00:00:00"/>
    <s v="CUST0117"/>
    <s v="Sneha"/>
    <s v="Male"/>
    <n v="59"/>
    <s v="Delhi"/>
    <x v="2"/>
    <x v="2"/>
    <x v="4"/>
    <x v="4"/>
    <s v="Returned"/>
    <n v="4"/>
    <n v="14764"/>
    <n v="50197.599999999999"/>
    <n v="17868.82"/>
  </r>
  <r>
    <s v="ORD0118"/>
    <d v="2024-09-03T00:00:00"/>
    <s v="CUST0118"/>
    <s v="Rohan"/>
    <s v="Male"/>
    <n v="48"/>
    <s v="Chennai"/>
    <x v="0"/>
    <x v="2"/>
    <x v="3"/>
    <x v="2"/>
    <s v="Delivered"/>
    <n v="3"/>
    <n v="14371"/>
    <n v="43113"/>
    <n v="11903.55"/>
  </r>
  <r>
    <s v="ORD0119"/>
    <d v="2024-08-20T00:00:00"/>
    <s v="CUST0119"/>
    <s v="Amit"/>
    <s v="Female"/>
    <n v="40"/>
    <s v="Pune"/>
    <x v="0"/>
    <x v="0"/>
    <x v="2"/>
    <x v="4"/>
    <s v="Returned"/>
    <n v="1"/>
    <n v="2182"/>
    <n v="1745.6"/>
    <n v="623.5"/>
  </r>
  <r>
    <s v="ORD0120"/>
    <d v="2024-12-27T00:00:00"/>
    <s v="CUST0120"/>
    <s v="Aarav"/>
    <s v="Female"/>
    <n v="60"/>
    <s v="Delhi"/>
    <x v="0"/>
    <x v="0"/>
    <x v="1"/>
    <x v="1"/>
    <s v="Pending"/>
    <n v="5"/>
    <n v="11372"/>
    <n v="45488"/>
    <n v="7522.4"/>
  </r>
  <r>
    <s v="ORD0121"/>
    <d v="2024-06-04T00:00:00"/>
    <s v="CUST0121"/>
    <s v="Ananya"/>
    <s v="Female"/>
    <n v="55"/>
    <s v="Hyderabad"/>
    <x v="1"/>
    <x v="2"/>
    <x v="3"/>
    <x v="0"/>
    <s v="Pending"/>
    <n v="2"/>
    <n v="9054"/>
    <n v="17202.599999999999"/>
    <n v="2963.51"/>
  </r>
  <r>
    <s v="ORD0122"/>
    <d v="2024-08-10T00:00:00"/>
    <s v="CUST0122"/>
    <s v="Priya"/>
    <s v="Male"/>
    <n v="43"/>
    <s v="Chennai"/>
    <x v="0"/>
    <x v="1"/>
    <x v="3"/>
    <x v="1"/>
    <s v="Pending"/>
    <n v="4"/>
    <n v="7080"/>
    <n v="22656"/>
    <n v="6298.52"/>
  </r>
  <r>
    <s v="ORD0123"/>
    <d v="2024-07-23T00:00:00"/>
    <s v="CUST0123"/>
    <s v="Sneha"/>
    <s v="Male"/>
    <n v="47"/>
    <s v="Hyderabad"/>
    <x v="0"/>
    <x v="0"/>
    <x v="1"/>
    <x v="4"/>
    <s v="Returned"/>
    <n v="3"/>
    <n v="16144"/>
    <n v="48432"/>
    <n v="15002.16"/>
  </r>
  <r>
    <s v="ORD0124"/>
    <d v="2024-02-01T00:00:00"/>
    <s v="CUST0124"/>
    <s v="Ananya"/>
    <s v="Male"/>
    <n v="50"/>
    <s v="Bangalore"/>
    <x v="1"/>
    <x v="2"/>
    <x v="3"/>
    <x v="3"/>
    <s v="Cancelled"/>
    <n v="5"/>
    <n v="26058"/>
    <n v="117261"/>
    <n v="42288.92"/>
  </r>
  <r>
    <s v="ORD0125"/>
    <d v="2024-07-19T00:00:00"/>
    <s v="CUST0125"/>
    <s v="Amit"/>
    <s v="Male"/>
    <n v="30"/>
    <s v="Hyderabad"/>
    <x v="0"/>
    <x v="1"/>
    <x v="2"/>
    <x v="1"/>
    <s v="Cancelled"/>
    <n v="2"/>
    <n v="36116"/>
    <n v="57785.599999999999"/>
    <n v="11184.58"/>
  </r>
  <r>
    <s v="ORD0126"/>
    <d v="2024-02-24T00:00:00"/>
    <s v="CUST0126"/>
    <s v="Ananya"/>
    <s v="Male"/>
    <n v="20"/>
    <s v="Hyderabad"/>
    <x v="0"/>
    <x v="0"/>
    <x v="3"/>
    <x v="1"/>
    <s v="Returned"/>
    <n v="1"/>
    <n v="28334"/>
    <n v="22667.200000000001"/>
    <n v="3978.79"/>
  </r>
  <r>
    <s v="ORD0127"/>
    <d v="2024-02-08T00:00:00"/>
    <s v="CUST0127"/>
    <s v="Amit"/>
    <s v="Female"/>
    <n v="55"/>
    <s v="Pune"/>
    <x v="0"/>
    <x v="0"/>
    <x v="0"/>
    <x v="0"/>
    <s v="Returned"/>
    <n v="1"/>
    <n v="4285"/>
    <n v="3642.25"/>
    <n v="755.32"/>
  </r>
  <r>
    <s v="ORD0128"/>
    <d v="2024-11-08T00:00:00"/>
    <s v="CUST0128"/>
    <s v="Amit"/>
    <s v="Male"/>
    <n v="58"/>
    <s v="Delhi"/>
    <x v="1"/>
    <x v="2"/>
    <x v="0"/>
    <x v="2"/>
    <s v="Pending"/>
    <n v="1"/>
    <n v="23033"/>
    <n v="19578.05"/>
    <n v="4381.6499999999996"/>
  </r>
  <r>
    <s v="ORD0129"/>
    <d v="2024-03-01T00:00:00"/>
    <s v="CUST0129"/>
    <s v="Neha"/>
    <s v="Male"/>
    <n v="43"/>
    <s v="Bangalore"/>
    <x v="0"/>
    <x v="2"/>
    <x v="2"/>
    <x v="1"/>
    <s v="Cancelled"/>
    <n v="2"/>
    <n v="31211"/>
    <n v="56179.8"/>
    <n v="12676.82"/>
  </r>
  <r>
    <s v="ORD0130"/>
    <d v="2024-04-18T00:00:00"/>
    <s v="CUST0130"/>
    <s v="Ananya"/>
    <s v="Female"/>
    <n v="60"/>
    <s v="Mumbai"/>
    <x v="0"/>
    <x v="0"/>
    <x v="1"/>
    <x v="0"/>
    <s v="Delivered"/>
    <n v="3"/>
    <n v="5860"/>
    <n v="14943"/>
    <n v="2671.05"/>
  </r>
  <r>
    <s v="ORD0131"/>
    <d v="2024-03-29T00:00:00"/>
    <s v="CUST0131"/>
    <s v="Ananya"/>
    <s v="Male"/>
    <n v="50"/>
    <s v="Hyderabad"/>
    <x v="1"/>
    <x v="2"/>
    <x v="0"/>
    <x v="2"/>
    <s v="Returned"/>
    <n v="1"/>
    <n v="27106"/>
    <n v="25750.7"/>
    <n v="8736.5"/>
  </r>
  <r>
    <s v="ORD0132"/>
    <d v="2024-05-22T00:00:00"/>
    <s v="CUST0132"/>
    <s v="Rohan"/>
    <s v="Female"/>
    <n v="55"/>
    <s v="Pune"/>
    <x v="2"/>
    <x v="2"/>
    <x v="0"/>
    <x v="0"/>
    <s v="Delivered"/>
    <n v="2"/>
    <n v="13711"/>
    <n v="27422"/>
    <n v="7940.63"/>
  </r>
  <r>
    <s v="ORD0133"/>
    <d v="2024-03-28T00:00:00"/>
    <s v="CUST0133"/>
    <s v="Amit"/>
    <s v="Male"/>
    <n v="36"/>
    <s v="Bangalore"/>
    <x v="0"/>
    <x v="0"/>
    <x v="0"/>
    <x v="2"/>
    <s v="Pending"/>
    <n v="4"/>
    <n v="30810"/>
    <n v="98592"/>
    <n v="29759.1"/>
  </r>
  <r>
    <s v="ORD0134"/>
    <d v="2024-08-19T00:00:00"/>
    <s v="CUST0134"/>
    <s v="Priya"/>
    <s v="Male"/>
    <n v="54"/>
    <s v="Delhi"/>
    <x v="0"/>
    <x v="1"/>
    <x v="0"/>
    <x v="1"/>
    <s v="Delivered"/>
    <n v="4"/>
    <n v="32471"/>
    <n v="110401.4"/>
    <n v="34650.39"/>
  </r>
  <r>
    <s v="ORD0135"/>
    <d v="2024-06-21T00:00:00"/>
    <s v="CUST0135"/>
    <s v="Aarav"/>
    <s v="Male"/>
    <n v="29"/>
    <s v="Bangalore"/>
    <x v="0"/>
    <x v="1"/>
    <x v="3"/>
    <x v="3"/>
    <s v="Cancelled"/>
    <n v="2"/>
    <n v="39976"/>
    <n v="71956.800000000003"/>
    <n v="18734.36"/>
  </r>
  <r>
    <s v="ORD0136"/>
    <d v="2024-05-19T00:00:00"/>
    <s v="CUST0136"/>
    <s v="Rahul"/>
    <s v="Female"/>
    <n v="60"/>
    <s v="Mumbai"/>
    <x v="0"/>
    <x v="2"/>
    <x v="4"/>
    <x v="0"/>
    <s v="Pending"/>
    <n v="4"/>
    <n v="29322"/>
    <n v="93830.399999999994"/>
    <n v="18348.23"/>
  </r>
  <r>
    <s v="ORD0137"/>
    <d v="2024-05-06T00:00:00"/>
    <s v="CUST0137"/>
    <s v="Sneha"/>
    <s v="Female"/>
    <n v="30"/>
    <s v="Hyderabad"/>
    <x v="1"/>
    <x v="1"/>
    <x v="2"/>
    <x v="2"/>
    <s v="Cancelled"/>
    <n v="3"/>
    <n v="48424"/>
    <n v="123481.2"/>
    <n v="21612.48"/>
  </r>
  <r>
    <s v="ORD0138"/>
    <d v="2024-12-03T00:00:00"/>
    <s v="CUST0138"/>
    <s v="Amit"/>
    <s v="Male"/>
    <n v="50"/>
    <s v="Bangalore"/>
    <x v="0"/>
    <x v="1"/>
    <x v="3"/>
    <x v="3"/>
    <s v="Cancelled"/>
    <n v="2"/>
    <n v="48141"/>
    <n v="96282"/>
    <n v="25493.200000000001"/>
  </r>
  <r>
    <s v="ORD0139"/>
    <d v="2024-05-03T00:00:00"/>
    <s v="CUST0139"/>
    <s v="Rahul"/>
    <s v="Female"/>
    <n v="18"/>
    <s v="Pune"/>
    <x v="1"/>
    <x v="0"/>
    <x v="4"/>
    <x v="3"/>
    <s v="Delivered"/>
    <n v="3"/>
    <n v="18047"/>
    <n v="48726.9"/>
    <n v="9240.7999999999993"/>
  </r>
  <r>
    <s v="ORD0140"/>
    <d v="2024-04-19T00:00:00"/>
    <s v="CUST0140"/>
    <s v="Ananya"/>
    <s v="Female"/>
    <n v="42"/>
    <s v="Hyderabad"/>
    <x v="2"/>
    <x v="2"/>
    <x v="4"/>
    <x v="0"/>
    <s v="Delivered"/>
    <n v="3"/>
    <n v="2884"/>
    <n v="6921.6"/>
    <n v="2692.02"/>
  </r>
  <r>
    <s v="ORD0141"/>
    <d v="2024-09-25T00:00:00"/>
    <s v="CUST0141"/>
    <s v="Rahul"/>
    <s v="Female"/>
    <n v="42"/>
    <s v="Pune"/>
    <x v="0"/>
    <x v="2"/>
    <x v="1"/>
    <x v="3"/>
    <s v="Returned"/>
    <n v="4"/>
    <n v="14054"/>
    <n v="56216"/>
    <n v="12592.65"/>
  </r>
  <r>
    <s v="ORD0142"/>
    <d v="2024-10-28T00:00:00"/>
    <s v="CUST0142"/>
    <s v="Aarav"/>
    <s v="Female"/>
    <n v="21"/>
    <s v="Mumbai"/>
    <x v="0"/>
    <x v="0"/>
    <x v="0"/>
    <x v="3"/>
    <s v="Delivered"/>
    <n v="5"/>
    <n v="7030"/>
    <n v="35150"/>
    <n v="9721.89"/>
  </r>
  <r>
    <s v="ORD0143"/>
    <d v="2024-07-28T00:00:00"/>
    <s v="CUST0143"/>
    <s v="Rahul"/>
    <s v="Female"/>
    <n v="23"/>
    <s v="Mumbai"/>
    <x v="1"/>
    <x v="1"/>
    <x v="3"/>
    <x v="1"/>
    <s v="Pending"/>
    <n v="2"/>
    <n v="10739"/>
    <n v="18256.3"/>
    <n v="3167.07"/>
  </r>
  <r>
    <s v="ORD0144"/>
    <d v="2024-03-08T00:00:00"/>
    <s v="CUST0144"/>
    <s v="Vikram"/>
    <s v="Male"/>
    <n v="56"/>
    <s v="Pune"/>
    <x v="2"/>
    <x v="2"/>
    <x v="1"/>
    <x v="0"/>
    <s v="Pending"/>
    <n v="5"/>
    <n v="19822"/>
    <n v="84243.5"/>
    <n v="20473.509999999998"/>
  </r>
  <r>
    <s v="ORD0145"/>
    <d v="2024-05-19T00:00:00"/>
    <s v="CUST0145"/>
    <s v="Vikram"/>
    <s v="Male"/>
    <n v="42"/>
    <s v="Delhi"/>
    <x v="1"/>
    <x v="1"/>
    <x v="3"/>
    <x v="1"/>
    <s v="Returned"/>
    <n v="3"/>
    <n v="43626"/>
    <n v="130878"/>
    <n v="36328.18"/>
  </r>
  <r>
    <s v="ORD0146"/>
    <d v="2024-11-10T00:00:00"/>
    <s v="CUST0146"/>
    <s v="Neha"/>
    <s v="Female"/>
    <n v="37"/>
    <s v="Pune"/>
    <x v="0"/>
    <x v="2"/>
    <x v="2"/>
    <x v="2"/>
    <s v="Cancelled"/>
    <n v="1"/>
    <n v="38397"/>
    <n v="32637.45"/>
    <n v="8775.74"/>
  </r>
  <r>
    <s v="ORD0147"/>
    <d v="2024-10-23T00:00:00"/>
    <s v="CUST0147"/>
    <s v="Priya"/>
    <s v="Female"/>
    <n v="29"/>
    <s v="Pune"/>
    <x v="0"/>
    <x v="0"/>
    <x v="3"/>
    <x v="0"/>
    <s v="Delivered"/>
    <n v="2"/>
    <n v="29926"/>
    <n v="56859.4"/>
    <n v="16410.080000000002"/>
  </r>
  <r>
    <s v="ORD0148"/>
    <d v="2024-05-21T00:00:00"/>
    <s v="CUST0148"/>
    <s v="Amit"/>
    <s v="Male"/>
    <n v="59"/>
    <s v="Mumbai"/>
    <x v="0"/>
    <x v="1"/>
    <x v="0"/>
    <x v="0"/>
    <s v="Delivered"/>
    <n v="3"/>
    <n v="32418"/>
    <n v="77803.199999999997"/>
    <n v="22213.71"/>
  </r>
  <r>
    <s v="ORD0149"/>
    <d v="2024-02-01T00:00:00"/>
    <s v="CUST0149"/>
    <s v="Sneha"/>
    <s v="Female"/>
    <n v="55"/>
    <s v="Delhi"/>
    <x v="0"/>
    <x v="2"/>
    <x v="2"/>
    <x v="3"/>
    <s v="Pending"/>
    <n v="3"/>
    <n v="12218"/>
    <n v="31155.9"/>
    <n v="8431.08"/>
  </r>
  <r>
    <s v="ORD0150"/>
    <d v="2024-11-04T00:00:00"/>
    <s v="CUST0150"/>
    <s v="Pooja"/>
    <s v="Male"/>
    <n v="50"/>
    <s v="Mumbai"/>
    <x v="0"/>
    <x v="0"/>
    <x v="3"/>
    <x v="2"/>
    <s v="Pending"/>
    <n v="4"/>
    <n v="8532"/>
    <n v="32421.599999999999"/>
    <n v="9122.56"/>
  </r>
  <r>
    <s v="ORD0151"/>
    <d v="2024-08-11T00:00:00"/>
    <s v="CUST0151"/>
    <s v="Amit"/>
    <s v="Female"/>
    <n v="45"/>
    <s v="Mumbai"/>
    <x v="1"/>
    <x v="2"/>
    <x v="3"/>
    <x v="0"/>
    <s v="Pending"/>
    <n v="2"/>
    <n v="29212"/>
    <n v="49660.4"/>
    <n v="18420.349999999999"/>
  </r>
  <r>
    <s v="ORD0152"/>
    <d v="2024-01-15T00:00:00"/>
    <s v="CUST0152"/>
    <s v="Sneha"/>
    <s v="Female"/>
    <n v="55"/>
    <s v="Hyderabad"/>
    <x v="0"/>
    <x v="2"/>
    <x v="0"/>
    <x v="2"/>
    <s v="Cancelled"/>
    <n v="2"/>
    <n v="13788"/>
    <n v="24818.400000000001"/>
    <n v="4993.8500000000004"/>
  </r>
  <r>
    <s v="ORD0153"/>
    <d v="2024-04-17T00:00:00"/>
    <s v="CUST0153"/>
    <s v="Neha"/>
    <s v="Female"/>
    <n v="19"/>
    <s v="Bangalore"/>
    <x v="0"/>
    <x v="0"/>
    <x v="4"/>
    <x v="0"/>
    <s v="Returned"/>
    <n v="1"/>
    <n v="18898"/>
    <n v="17008.2"/>
    <n v="5006.71"/>
  </r>
  <r>
    <s v="ORD0154"/>
    <d v="2024-07-16T00:00:00"/>
    <s v="CUST0154"/>
    <s v="Neha"/>
    <s v="Male"/>
    <n v="28"/>
    <s v="Bangalore"/>
    <x v="0"/>
    <x v="1"/>
    <x v="2"/>
    <x v="2"/>
    <s v="Pending"/>
    <n v="2"/>
    <n v="48913"/>
    <n v="78260.800000000003"/>
    <n v="13420.15"/>
  </r>
  <r>
    <s v="ORD0155"/>
    <d v="2024-03-09T00:00:00"/>
    <s v="CUST0155"/>
    <s v="Priya"/>
    <s v="Female"/>
    <n v="26"/>
    <s v="Delhi"/>
    <x v="0"/>
    <x v="0"/>
    <x v="4"/>
    <x v="1"/>
    <s v="Delivered"/>
    <n v="3"/>
    <n v="37163"/>
    <n v="100340.1"/>
    <n v="27188.5"/>
  </r>
  <r>
    <s v="ORD0156"/>
    <d v="2024-10-03T00:00:00"/>
    <s v="CUST0156"/>
    <s v="Rahul"/>
    <s v="Female"/>
    <n v="45"/>
    <s v="Mumbai"/>
    <x v="0"/>
    <x v="1"/>
    <x v="0"/>
    <x v="3"/>
    <s v="Cancelled"/>
    <n v="3"/>
    <n v="3906"/>
    <n v="9960.2999999999993"/>
    <n v="3178.18"/>
  </r>
  <r>
    <s v="ORD0157"/>
    <d v="2024-09-02T00:00:00"/>
    <s v="CUST0157"/>
    <s v="Pooja"/>
    <s v="Male"/>
    <n v="26"/>
    <s v="Chennai"/>
    <x v="2"/>
    <x v="1"/>
    <x v="2"/>
    <x v="0"/>
    <s v="Pending"/>
    <n v="1"/>
    <n v="3922"/>
    <n v="3725.9"/>
    <n v="1348.77"/>
  </r>
  <r>
    <s v="ORD0158"/>
    <d v="2024-06-21T00:00:00"/>
    <s v="CUST0158"/>
    <s v="Pooja"/>
    <s v="Female"/>
    <n v="47"/>
    <s v="Mumbai"/>
    <x v="0"/>
    <x v="0"/>
    <x v="2"/>
    <x v="2"/>
    <s v="Pending"/>
    <n v="1"/>
    <n v="29825"/>
    <n v="28333.75"/>
    <n v="11117.47"/>
  </r>
  <r>
    <s v="ORD0159"/>
    <d v="2024-07-04T00:00:00"/>
    <s v="CUST0159"/>
    <s v="Amit"/>
    <s v="Female"/>
    <n v="42"/>
    <s v="Pune"/>
    <x v="0"/>
    <x v="0"/>
    <x v="3"/>
    <x v="1"/>
    <s v="Cancelled"/>
    <n v="2"/>
    <n v="39256"/>
    <n v="62809.599999999999"/>
    <n v="18880.04"/>
  </r>
  <r>
    <s v="ORD0160"/>
    <d v="2024-11-09T00:00:00"/>
    <s v="CUST0160"/>
    <s v="Ananya"/>
    <s v="Male"/>
    <n v="55"/>
    <s v="Bangalore"/>
    <x v="1"/>
    <x v="1"/>
    <x v="1"/>
    <x v="3"/>
    <s v="Delivered"/>
    <n v="3"/>
    <n v="35722"/>
    <n v="91091.1"/>
    <n v="29535.93"/>
  </r>
  <r>
    <s v="ORD0161"/>
    <d v="2024-04-22T00:00:00"/>
    <s v="CUST0161"/>
    <s v="Aarav"/>
    <s v="Male"/>
    <n v="36"/>
    <s v="Bangalore"/>
    <x v="0"/>
    <x v="2"/>
    <x v="4"/>
    <x v="3"/>
    <s v="Returned"/>
    <n v="4"/>
    <n v="23862"/>
    <n v="90675.6"/>
    <n v="35854.949999999997"/>
  </r>
  <r>
    <s v="ORD0162"/>
    <d v="2024-12-18T00:00:00"/>
    <s v="CUST0162"/>
    <s v="Ananya"/>
    <s v="Female"/>
    <n v="46"/>
    <s v="Bangalore"/>
    <x v="0"/>
    <x v="0"/>
    <x v="3"/>
    <x v="2"/>
    <s v="Cancelled"/>
    <n v="5"/>
    <n v="15162"/>
    <n v="75810"/>
    <n v="26166.3"/>
  </r>
  <r>
    <s v="ORD0163"/>
    <d v="2024-05-09T00:00:00"/>
    <s v="CUST0163"/>
    <s v="Pooja"/>
    <s v="Male"/>
    <n v="18"/>
    <s v="Hyderabad"/>
    <x v="2"/>
    <x v="1"/>
    <x v="1"/>
    <x v="3"/>
    <s v="Cancelled"/>
    <n v="1"/>
    <n v="32660"/>
    <n v="27761"/>
    <n v="9213.09"/>
  </r>
  <r>
    <s v="ORD0164"/>
    <d v="2024-07-29T00:00:00"/>
    <s v="CUST0164"/>
    <s v="Priya"/>
    <s v="Female"/>
    <n v="22"/>
    <s v="Bangalore"/>
    <x v="1"/>
    <x v="0"/>
    <x v="0"/>
    <x v="3"/>
    <s v="Returned"/>
    <n v="5"/>
    <n v="3258"/>
    <n v="15475.5"/>
    <n v="5308.24"/>
  </r>
  <r>
    <s v="ORD0165"/>
    <d v="2024-09-17T00:00:00"/>
    <s v="CUST0165"/>
    <s v="Vikram"/>
    <s v="Male"/>
    <n v="44"/>
    <s v="Hyderabad"/>
    <x v="2"/>
    <x v="0"/>
    <x v="2"/>
    <x v="4"/>
    <s v="Delivered"/>
    <n v="1"/>
    <n v="19866"/>
    <n v="16886.099999999999"/>
    <n v="4612.74"/>
  </r>
  <r>
    <s v="ORD0166"/>
    <d v="2024-04-06T00:00:00"/>
    <s v="CUST0166"/>
    <s v="Rohan"/>
    <s v="Male"/>
    <n v="57"/>
    <s v="Pune"/>
    <x v="0"/>
    <x v="1"/>
    <x v="2"/>
    <x v="3"/>
    <s v="Cancelled"/>
    <n v="3"/>
    <n v="17087"/>
    <n v="48697.95"/>
    <n v="18783.39"/>
  </r>
  <r>
    <s v="ORD0167"/>
    <d v="2024-02-15T00:00:00"/>
    <s v="CUST0167"/>
    <s v="Neha"/>
    <s v="Male"/>
    <n v="60"/>
    <s v="Mumbai"/>
    <x v="0"/>
    <x v="1"/>
    <x v="0"/>
    <x v="2"/>
    <s v="Pending"/>
    <n v="4"/>
    <n v="5657"/>
    <n v="18102.400000000001"/>
    <n v="6723.74"/>
  </r>
  <r>
    <s v="ORD0168"/>
    <d v="2024-05-22T00:00:00"/>
    <s v="CUST0168"/>
    <s v="Vikram"/>
    <s v="Female"/>
    <n v="37"/>
    <s v="Mumbai"/>
    <x v="0"/>
    <x v="0"/>
    <x v="4"/>
    <x v="4"/>
    <s v="Cancelled"/>
    <n v="1"/>
    <n v="8506"/>
    <n v="8506"/>
    <n v="2272.4499999999998"/>
  </r>
  <r>
    <s v="ORD0169"/>
    <d v="2024-05-25T00:00:00"/>
    <s v="CUST0169"/>
    <s v="Rahul"/>
    <s v="Male"/>
    <n v="18"/>
    <s v="Chennai"/>
    <x v="2"/>
    <x v="2"/>
    <x v="4"/>
    <x v="3"/>
    <s v="Delivered"/>
    <n v="4"/>
    <n v="36625"/>
    <n v="139175"/>
    <n v="34191.839999999997"/>
  </r>
  <r>
    <s v="ORD0170"/>
    <d v="2024-04-22T00:00:00"/>
    <s v="CUST0170"/>
    <s v="Pooja"/>
    <s v="Female"/>
    <n v="24"/>
    <s v="Chennai"/>
    <x v="0"/>
    <x v="2"/>
    <x v="0"/>
    <x v="0"/>
    <s v="Returned"/>
    <n v="1"/>
    <n v="38829"/>
    <n v="38829"/>
    <n v="9200.99"/>
  </r>
  <r>
    <s v="ORD0171"/>
    <d v="2024-06-17T00:00:00"/>
    <s v="CUST0171"/>
    <s v="Priya"/>
    <s v="Male"/>
    <n v="44"/>
    <s v="Chennai"/>
    <x v="0"/>
    <x v="1"/>
    <x v="2"/>
    <x v="4"/>
    <s v="Cancelled"/>
    <n v="3"/>
    <n v="24228"/>
    <n v="72684"/>
    <n v="15358.07"/>
  </r>
  <r>
    <s v="ORD0172"/>
    <d v="2024-05-01T00:00:00"/>
    <s v="CUST0172"/>
    <s v="Pooja"/>
    <s v="Male"/>
    <n v="37"/>
    <s v="Chennai"/>
    <x v="1"/>
    <x v="2"/>
    <x v="2"/>
    <x v="0"/>
    <s v="Returned"/>
    <n v="5"/>
    <n v="32245"/>
    <n v="145102.5"/>
    <n v="37346.86"/>
  </r>
  <r>
    <s v="ORD0173"/>
    <d v="2024-09-04T00:00:00"/>
    <s v="CUST0173"/>
    <s v="Rohan"/>
    <s v="Male"/>
    <n v="48"/>
    <s v="Mumbai"/>
    <x v="1"/>
    <x v="2"/>
    <x v="1"/>
    <x v="1"/>
    <s v="Delivered"/>
    <n v="5"/>
    <n v="26795"/>
    <n v="127276.25"/>
    <n v="21367.73"/>
  </r>
  <r>
    <s v="ORD0174"/>
    <d v="2024-12-04T00:00:00"/>
    <s v="CUST0174"/>
    <s v="Pooja"/>
    <s v="Male"/>
    <n v="43"/>
    <s v="Hyderabad"/>
    <x v="0"/>
    <x v="0"/>
    <x v="1"/>
    <x v="3"/>
    <s v="Cancelled"/>
    <n v="2"/>
    <n v="34854"/>
    <n v="66222.600000000006"/>
    <n v="10609.12"/>
  </r>
  <r>
    <s v="ORD0175"/>
    <d v="2024-01-30T00:00:00"/>
    <s v="CUST0175"/>
    <s v="Ananya"/>
    <s v="Female"/>
    <n v="20"/>
    <s v="Hyderabad"/>
    <x v="0"/>
    <x v="2"/>
    <x v="2"/>
    <x v="4"/>
    <s v="Cancelled"/>
    <n v="5"/>
    <n v="27539"/>
    <n v="117040.75"/>
    <n v="30003.08"/>
  </r>
  <r>
    <s v="ORD0176"/>
    <d v="2024-12-16T00:00:00"/>
    <s v="CUST0176"/>
    <s v="Amit"/>
    <s v="Female"/>
    <n v="51"/>
    <s v="Bangalore"/>
    <x v="1"/>
    <x v="2"/>
    <x v="2"/>
    <x v="3"/>
    <s v="Pending"/>
    <n v="5"/>
    <n v="21976"/>
    <n v="109880"/>
    <n v="26747.74"/>
  </r>
  <r>
    <s v="ORD0177"/>
    <d v="2024-06-29T00:00:00"/>
    <s v="CUST0177"/>
    <s v="Rohan"/>
    <s v="Male"/>
    <n v="45"/>
    <s v="Bangalore"/>
    <x v="2"/>
    <x v="0"/>
    <x v="0"/>
    <x v="4"/>
    <s v="Pending"/>
    <n v="4"/>
    <n v="7531"/>
    <n v="24099.200000000001"/>
    <n v="6743.41"/>
  </r>
  <r>
    <s v="ORD0178"/>
    <d v="2024-12-02T00:00:00"/>
    <s v="CUST0178"/>
    <s v="Amit"/>
    <s v="Male"/>
    <n v="23"/>
    <s v="Hyderabad"/>
    <x v="0"/>
    <x v="0"/>
    <x v="2"/>
    <x v="2"/>
    <s v="Cancelled"/>
    <n v="5"/>
    <n v="501"/>
    <n v="2004"/>
    <n v="727.97"/>
  </r>
  <r>
    <s v="ORD0179"/>
    <d v="2024-04-24T00:00:00"/>
    <s v="CUST0179"/>
    <s v="Neha"/>
    <s v="Male"/>
    <n v="18"/>
    <s v="Chennai"/>
    <x v="0"/>
    <x v="0"/>
    <x v="4"/>
    <x v="0"/>
    <s v="Cancelled"/>
    <n v="4"/>
    <n v="42913"/>
    <n v="145904.20000000001"/>
    <n v="37469.68"/>
  </r>
  <r>
    <s v="ORD0180"/>
    <d v="2024-08-11T00:00:00"/>
    <s v="CUST0180"/>
    <s v="Neha"/>
    <s v="Male"/>
    <n v="43"/>
    <s v="Pune"/>
    <x v="2"/>
    <x v="0"/>
    <x v="1"/>
    <x v="3"/>
    <s v="Returned"/>
    <n v="3"/>
    <n v="29024"/>
    <n v="87072"/>
    <n v="31691.72"/>
  </r>
  <r>
    <s v="ORD0181"/>
    <d v="2024-01-05T00:00:00"/>
    <s v="CUST0181"/>
    <s v="Vikram"/>
    <s v="Female"/>
    <n v="36"/>
    <s v="Pune"/>
    <x v="2"/>
    <x v="1"/>
    <x v="0"/>
    <x v="0"/>
    <s v="Cancelled"/>
    <n v="5"/>
    <n v="14222"/>
    <n v="60443.5"/>
    <n v="23475.62"/>
  </r>
  <r>
    <s v="ORD0182"/>
    <d v="2024-07-25T00:00:00"/>
    <s v="CUST0182"/>
    <s v="Amit"/>
    <s v="Male"/>
    <n v="60"/>
    <s v="Delhi"/>
    <x v="0"/>
    <x v="0"/>
    <x v="3"/>
    <x v="1"/>
    <s v="Pending"/>
    <n v="3"/>
    <n v="11503"/>
    <n v="31058.1"/>
    <n v="7789.61"/>
  </r>
  <r>
    <s v="ORD0183"/>
    <d v="2024-03-03T00:00:00"/>
    <s v="CUST0183"/>
    <s v="Priya"/>
    <s v="Female"/>
    <n v="31"/>
    <s v="Chennai"/>
    <x v="2"/>
    <x v="1"/>
    <x v="3"/>
    <x v="4"/>
    <s v="Returned"/>
    <n v="4"/>
    <n v="26185"/>
    <n v="99503"/>
    <n v="37681"/>
  </r>
  <r>
    <s v="ORD0184"/>
    <d v="2024-05-08T00:00:00"/>
    <s v="CUST0184"/>
    <s v="Sneha"/>
    <s v="Male"/>
    <n v="58"/>
    <s v="Delhi"/>
    <x v="0"/>
    <x v="1"/>
    <x v="1"/>
    <x v="4"/>
    <s v="Pending"/>
    <n v="2"/>
    <n v="47332"/>
    <n v="85197.6"/>
    <n v="22527.69"/>
  </r>
  <r>
    <s v="ORD0185"/>
    <d v="2024-08-26T00:00:00"/>
    <s v="CUST0185"/>
    <s v="Priya"/>
    <s v="Male"/>
    <n v="39"/>
    <s v="Chennai"/>
    <x v="0"/>
    <x v="1"/>
    <x v="2"/>
    <x v="1"/>
    <s v="Delivered"/>
    <n v="1"/>
    <n v="2874"/>
    <n v="2299.1999999999998"/>
    <n v="731.72"/>
  </r>
  <r>
    <s v="ORD0186"/>
    <d v="2024-08-20T00:00:00"/>
    <s v="CUST0186"/>
    <s v="Vikram"/>
    <s v="Female"/>
    <n v="32"/>
    <s v="Chennai"/>
    <x v="0"/>
    <x v="0"/>
    <x v="0"/>
    <x v="1"/>
    <s v="Delivered"/>
    <n v="3"/>
    <n v="11244"/>
    <n v="30358.799999999999"/>
    <n v="8330.07"/>
  </r>
  <r>
    <s v="ORD0187"/>
    <d v="2024-12-12T00:00:00"/>
    <s v="CUST0187"/>
    <s v="Ananya"/>
    <s v="Male"/>
    <n v="45"/>
    <s v="Pune"/>
    <x v="2"/>
    <x v="0"/>
    <x v="2"/>
    <x v="0"/>
    <s v="Returned"/>
    <n v="1"/>
    <n v="15668"/>
    <n v="14884.6"/>
    <n v="5068.92"/>
  </r>
  <r>
    <s v="ORD0188"/>
    <d v="2024-03-16T00:00:00"/>
    <s v="CUST0188"/>
    <s v="Aarav"/>
    <s v="Male"/>
    <n v="40"/>
    <s v="Delhi"/>
    <x v="0"/>
    <x v="1"/>
    <x v="4"/>
    <x v="4"/>
    <s v="Delivered"/>
    <n v="3"/>
    <n v="19248"/>
    <n v="51969.599999999999"/>
    <n v="17880.43"/>
  </r>
  <r>
    <s v="ORD0189"/>
    <d v="2024-04-20T00:00:00"/>
    <s v="CUST0189"/>
    <s v="Vikram"/>
    <s v="Male"/>
    <n v="41"/>
    <s v="Hyderabad"/>
    <x v="1"/>
    <x v="0"/>
    <x v="4"/>
    <x v="2"/>
    <s v="Delivered"/>
    <n v="4"/>
    <n v="10492"/>
    <n v="33574.400000000001"/>
    <n v="6675.15"/>
  </r>
  <r>
    <s v="ORD0190"/>
    <d v="2024-04-03T00:00:00"/>
    <s v="CUST0190"/>
    <s v="Ananya"/>
    <s v="Female"/>
    <n v="38"/>
    <s v="Hyderabad"/>
    <x v="0"/>
    <x v="2"/>
    <x v="1"/>
    <x v="1"/>
    <s v="Delivered"/>
    <n v="4"/>
    <n v="44886"/>
    <n v="161589.6"/>
    <n v="63887.83"/>
  </r>
  <r>
    <s v="ORD0191"/>
    <d v="2024-11-23T00:00:00"/>
    <s v="CUST0191"/>
    <s v="Rahul"/>
    <s v="Male"/>
    <n v="37"/>
    <s v="Delhi"/>
    <x v="0"/>
    <x v="2"/>
    <x v="3"/>
    <x v="3"/>
    <s v="Cancelled"/>
    <n v="5"/>
    <n v="32242"/>
    <n v="128968"/>
    <n v="30314.560000000001"/>
  </r>
  <r>
    <s v="ORD0192"/>
    <d v="2024-02-11T00:00:00"/>
    <s v="CUST0192"/>
    <s v="Rahul"/>
    <s v="Female"/>
    <n v="31"/>
    <s v="Chennai"/>
    <x v="2"/>
    <x v="0"/>
    <x v="2"/>
    <x v="2"/>
    <s v="Returned"/>
    <n v="3"/>
    <n v="23564"/>
    <n v="67157.399999999994"/>
    <n v="17879.330000000002"/>
  </r>
  <r>
    <s v="ORD0193"/>
    <d v="2024-01-11T00:00:00"/>
    <s v="CUST0193"/>
    <s v="Pooja"/>
    <s v="Male"/>
    <n v="33"/>
    <s v="Pune"/>
    <x v="0"/>
    <x v="2"/>
    <x v="3"/>
    <x v="3"/>
    <s v="Cancelled"/>
    <n v="3"/>
    <n v="38096"/>
    <n v="97144.8"/>
    <n v="38762.29"/>
  </r>
  <r>
    <s v="ORD0194"/>
    <d v="2024-10-14T00:00:00"/>
    <s v="CUST0194"/>
    <s v="Sneha"/>
    <s v="Female"/>
    <n v="23"/>
    <s v="Pune"/>
    <x v="0"/>
    <x v="0"/>
    <x v="0"/>
    <x v="3"/>
    <s v="Cancelled"/>
    <n v="4"/>
    <n v="18156"/>
    <n v="61730.400000000001"/>
    <n v="15128.81"/>
  </r>
  <r>
    <s v="ORD0195"/>
    <d v="2024-04-20T00:00:00"/>
    <s v="CUST0195"/>
    <s v="Priya"/>
    <s v="Male"/>
    <n v="30"/>
    <s v="Delhi"/>
    <x v="0"/>
    <x v="2"/>
    <x v="3"/>
    <x v="0"/>
    <s v="Delivered"/>
    <n v="3"/>
    <n v="25487"/>
    <n v="61168.800000000003"/>
    <n v="18142.02"/>
  </r>
  <r>
    <s v="ORD0196"/>
    <d v="2024-10-17T00:00:00"/>
    <s v="CUST0196"/>
    <s v="Rohan"/>
    <s v="Male"/>
    <n v="39"/>
    <s v="Bangalore"/>
    <x v="1"/>
    <x v="1"/>
    <x v="3"/>
    <x v="2"/>
    <s v="Delivered"/>
    <n v="4"/>
    <n v="18285"/>
    <n v="58512"/>
    <n v="17137.73"/>
  </r>
  <r>
    <s v="ORD0197"/>
    <d v="2024-07-09T00:00:00"/>
    <s v="CUST0197"/>
    <s v="Pooja"/>
    <s v="Male"/>
    <n v="47"/>
    <s v="Delhi"/>
    <x v="0"/>
    <x v="2"/>
    <x v="1"/>
    <x v="2"/>
    <s v="Pending"/>
    <n v="1"/>
    <n v="913"/>
    <n v="913"/>
    <n v="353.15"/>
  </r>
  <r>
    <s v="ORD0198"/>
    <d v="2024-02-21T00:00:00"/>
    <s v="CUST0198"/>
    <s v="Amit"/>
    <s v="Male"/>
    <n v="50"/>
    <s v="Delhi"/>
    <x v="0"/>
    <x v="1"/>
    <x v="3"/>
    <x v="3"/>
    <s v="Pending"/>
    <n v="1"/>
    <n v="35583"/>
    <n v="32024.7"/>
    <n v="9478.25"/>
  </r>
  <r>
    <s v="ORD0199"/>
    <d v="2024-11-08T00:00:00"/>
    <s v="CUST0199"/>
    <s v="Pooja"/>
    <s v="Female"/>
    <n v="44"/>
    <s v="Hyderabad"/>
    <x v="0"/>
    <x v="2"/>
    <x v="4"/>
    <x v="1"/>
    <s v="Pending"/>
    <n v="1"/>
    <n v="34890"/>
    <n v="31401"/>
    <n v="7787.83"/>
  </r>
  <r>
    <s v="ORD0200"/>
    <d v="2024-06-11T00:00:00"/>
    <s v="CUST0200"/>
    <s v="Pooja"/>
    <s v="Male"/>
    <n v="24"/>
    <s v="Chennai"/>
    <x v="2"/>
    <x v="2"/>
    <x v="4"/>
    <x v="2"/>
    <s v="Pending"/>
    <n v="2"/>
    <n v="30182"/>
    <n v="57345.8"/>
    <n v="11949.78"/>
  </r>
  <r>
    <s v="ORD0201"/>
    <d v="2024-07-31T00:00:00"/>
    <s v="CUST0201"/>
    <s v="Neha"/>
    <s v="Male"/>
    <n v="59"/>
    <s v="Pune"/>
    <x v="0"/>
    <x v="2"/>
    <x v="3"/>
    <x v="2"/>
    <s v="Returned"/>
    <n v="3"/>
    <n v="45616"/>
    <n v="116320.8"/>
    <n v="35821.589999999997"/>
  </r>
  <r>
    <s v="ORD0202"/>
    <d v="2024-04-16T00:00:00"/>
    <s v="CUST0202"/>
    <s v="Aarav"/>
    <s v="Male"/>
    <n v="33"/>
    <s v="Hyderabad"/>
    <x v="0"/>
    <x v="2"/>
    <x v="3"/>
    <x v="1"/>
    <s v="Pending"/>
    <n v="5"/>
    <n v="22863"/>
    <n v="108599.25"/>
    <n v="23278.9"/>
  </r>
  <r>
    <s v="ORD0203"/>
    <d v="2024-01-23T00:00:00"/>
    <s v="CUST0203"/>
    <s v="Pooja"/>
    <s v="Male"/>
    <n v="54"/>
    <s v="Delhi"/>
    <x v="0"/>
    <x v="2"/>
    <x v="3"/>
    <x v="4"/>
    <s v="Cancelled"/>
    <n v="1"/>
    <n v="21206"/>
    <n v="18025.099999999999"/>
    <n v="2943.6"/>
  </r>
  <r>
    <s v="ORD0204"/>
    <d v="2024-04-17T00:00:00"/>
    <s v="CUST0204"/>
    <s v="Neha"/>
    <s v="Male"/>
    <n v="52"/>
    <s v="Mumbai"/>
    <x v="0"/>
    <x v="1"/>
    <x v="4"/>
    <x v="1"/>
    <s v="Returned"/>
    <n v="4"/>
    <n v="19585"/>
    <n v="78340"/>
    <n v="25921.71"/>
  </r>
  <r>
    <s v="ORD0205"/>
    <d v="2024-10-24T00:00:00"/>
    <s v="CUST0205"/>
    <s v="Rohan"/>
    <s v="Female"/>
    <n v="48"/>
    <s v="Delhi"/>
    <x v="2"/>
    <x v="1"/>
    <x v="2"/>
    <x v="0"/>
    <s v="Pending"/>
    <n v="5"/>
    <n v="29361"/>
    <n v="146805"/>
    <n v="54770.559999999998"/>
  </r>
  <r>
    <s v="ORD0206"/>
    <d v="2024-02-03T00:00:00"/>
    <s v="CUST0206"/>
    <s v="Priya"/>
    <s v="Male"/>
    <n v="22"/>
    <s v="Pune"/>
    <x v="2"/>
    <x v="2"/>
    <x v="2"/>
    <x v="2"/>
    <s v="Delivered"/>
    <n v="3"/>
    <n v="26452"/>
    <n v="63484.800000000003"/>
    <n v="10257.709999999999"/>
  </r>
  <r>
    <s v="ORD0207"/>
    <d v="2024-03-30T00:00:00"/>
    <s v="CUST0207"/>
    <s v="Vikram"/>
    <s v="Male"/>
    <n v="46"/>
    <s v="Hyderabad"/>
    <x v="0"/>
    <x v="1"/>
    <x v="3"/>
    <x v="3"/>
    <s v="Pending"/>
    <n v="1"/>
    <n v="24695"/>
    <n v="20990.75"/>
    <n v="7040.53"/>
  </r>
  <r>
    <s v="ORD0208"/>
    <d v="2024-01-27T00:00:00"/>
    <s v="CUST0208"/>
    <s v="Vikram"/>
    <s v="Male"/>
    <n v="34"/>
    <s v="Pune"/>
    <x v="0"/>
    <x v="0"/>
    <x v="4"/>
    <x v="1"/>
    <s v="Cancelled"/>
    <n v="3"/>
    <n v="33550"/>
    <n v="90585"/>
    <n v="15820.98"/>
  </r>
  <r>
    <s v="ORD0209"/>
    <d v="2024-03-28T00:00:00"/>
    <s v="CUST0209"/>
    <s v="Sneha"/>
    <s v="Female"/>
    <n v="57"/>
    <s v="Mumbai"/>
    <x v="0"/>
    <x v="2"/>
    <x v="1"/>
    <x v="2"/>
    <s v="Cancelled"/>
    <n v="1"/>
    <n v="45397"/>
    <n v="40857.300000000003"/>
    <n v="9153.83"/>
  </r>
  <r>
    <s v="ORD0210"/>
    <d v="2024-01-02T00:00:00"/>
    <s v="CUST0210"/>
    <s v="Priya"/>
    <s v="Male"/>
    <n v="52"/>
    <s v="Chennai"/>
    <x v="2"/>
    <x v="1"/>
    <x v="3"/>
    <x v="1"/>
    <s v="Cancelled"/>
    <n v="4"/>
    <n v="17033"/>
    <n v="64725.4"/>
    <n v="12196.65"/>
  </r>
  <r>
    <s v="ORD0211"/>
    <d v="2024-10-19T00:00:00"/>
    <s v="CUST0211"/>
    <s v="Priya"/>
    <s v="Female"/>
    <n v="60"/>
    <s v="Bangalore"/>
    <x v="0"/>
    <x v="2"/>
    <x v="2"/>
    <x v="1"/>
    <s v="Returned"/>
    <n v="2"/>
    <n v="30390"/>
    <n v="51663"/>
    <n v="20102.57"/>
  </r>
  <r>
    <s v="ORD0212"/>
    <d v="2024-07-30T00:00:00"/>
    <s v="CUST0212"/>
    <s v="Sneha"/>
    <s v="Male"/>
    <n v="41"/>
    <s v="Pune"/>
    <x v="1"/>
    <x v="2"/>
    <x v="4"/>
    <x v="3"/>
    <s v="Returned"/>
    <n v="4"/>
    <n v="40792"/>
    <n v="155009.60000000001"/>
    <n v="55928.52"/>
  </r>
  <r>
    <s v="ORD0213"/>
    <d v="2024-04-17T00:00:00"/>
    <s v="CUST0213"/>
    <s v="Neha"/>
    <s v="Male"/>
    <n v="29"/>
    <s v="Chennai"/>
    <x v="1"/>
    <x v="0"/>
    <x v="0"/>
    <x v="1"/>
    <s v="Delivered"/>
    <n v="2"/>
    <n v="35588"/>
    <n v="60499.6"/>
    <n v="16903.89"/>
  </r>
  <r>
    <s v="ORD0214"/>
    <d v="2024-04-09T00:00:00"/>
    <s v="CUST0214"/>
    <s v="Rahul"/>
    <s v="Male"/>
    <n v="30"/>
    <s v="Delhi"/>
    <x v="0"/>
    <x v="0"/>
    <x v="3"/>
    <x v="1"/>
    <s v="Pending"/>
    <n v="1"/>
    <n v="25990"/>
    <n v="23391"/>
    <n v="5225.66"/>
  </r>
  <r>
    <s v="ORD0215"/>
    <d v="2024-09-16T00:00:00"/>
    <s v="CUST0215"/>
    <s v="Neha"/>
    <s v="Female"/>
    <n v="32"/>
    <s v="Mumbai"/>
    <x v="0"/>
    <x v="2"/>
    <x v="2"/>
    <x v="0"/>
    <s v="Cancelled"/>
    <n v="3"/>
    <n v="6500"/>
    <n v="16575"/>
    <n v="4785.3900000000003"/>
  </r>
  <r>
    <s v="ORD0216"/>
    <d v="2024-08-14T00:00:00"/>
    <s v="CUST0216"/>
    <s v="Priya"/>
    <s v="Male"/>
    <n v="28"/>
    <s v="Delhi"/>
    <x v="2"/>
    <x v="0"/>
    <x v="2"/>
    <x v="2"/>
    <s v="Delivered"/>
    <n v="3"/>
    <n v="16360"/>
    <n v="39264"/>
    <n v="8551.44"/>
  </r>
  <r>
    <s v="ORD0217"/>
    <d v="2024-12-30T00:00:00"/>
    <s v="CUST0217"/>
    <s v="Pooja"/>
    <s v="Female"/>
    <n v="53"/>
    <s v="Hyderabad"/>
    <x v="1"/>
    <x v="2"/>
    <x v="2"/>
    <x v="2"/>
    <s v="Pending"/>
    <n v="2"/>
    <n v="20490"/>
    <n v="36882"/>
    <n v="6719.47"/>
  </r>
  <r>
    <s v="ORD0218"/>
    <d v="2024-07-10T00:00:00"/>
    <s v="CUST0218"/>
    <s v="Ananya"/>
    <s v="Male"/>
    <n v="28"/>
    <s v="Delhi"/>
    <x v="1"/>
    <x v="2"/>
    <x v="3"/>
    <x v="4"/>
    <s v="Delivered"/>
    <n v="3"/>
    <n v="37710"/>
    <n v="113130"/>
    <n v="35140.86"/>
  </r>
  <r>
    <s v="ORD0219"/>
    <d v="2024-02-11T00:00:00"/>
    <s v="CUST0219"/>
    <s v="Rahul"/>
    <s v="Female"/>
    <n v="25"/>
    <s v="Hyderabad"/>
    <x v="1"/>
    <x v="1"/>
    <x v="3"/>
    <x v="3"/>
    <s v="Cancelled"/>
    <n v="5"/>
    <n v="38569"/>
    <n v="154276"/>
    <n v="55511.9"/>
  </r>
  <r>
    <s v="ORD0220"/>
    <d v="2024-03-08T00:00:00"/>
    <s v="CUST0220"/>
    <s v="Aarav"/>
    <s v="Female"/>
    <n v="51"/>
    <s v="Mumbai"/>
    <x v="0"/>
    <x v="2"/>
    <x v="3"/>
    <x v="1"/>
    <s v="Pending"/>
    <n v="3"/>
    <n v="9981"/>
    <n v="28445.85"/>
    <n v="8907.67"/>
  </r>
  <r>
    <s v="ORD0221"/>
    <d v="2024-11-08T00:00:00"/>
    <s v="CUST0221"/>
    <s v="Priya"/>
    <s v="Male"/>
    <n v="59"/>
    <s v="Pune"/>
    <x v="2"/>
    <x v="2"/>
    <x v="1"/>
    <x v="1"/>
    <s v="Delivered"/>
    <n v="4"/>
    <n v="541"/>
    <n v="1947.6"/>
    <n v="434.18"/>
  </r>
  <r>
    <s v="ORD0222"/>
    <d v="2024-02-15T00:00:00"/>
    <s v="CUST0222"/>
    <s v="Rohan"/>
    <s v="Female"/>
    <n v="24"/>
    <s v="Hyderabad"/>
    <x v="2"/>
    <x v="1"/>
    <x v="2"/>
    <x v="2"/>
    <s v="Cancelled"/>
    <n v="3"/>
    <n v="25531"/>
    <n v="76593"/>
    <n v="15518.81"/>
  </r>
  <r>
    <s v="ORD0223"/>
    <d v="2024-12-04T00:00:00"/>
    <s v="CUST0223"/>
    <s v="Vikram"/>
    <s v="Male"/>
    <n v="20"/>
    <s v="Mumbai"/>
    <x v="1"/>
    <x v="0"/>
    <x v="1"/>
    <x v="1"/>
    <s v="Returned"/>
    <n v="4"/>
    <n v="39544"/>
    <n v="142358.39999999999"/>
    <n v="36006.959999999999"/>
  </r>
  <r>
    <s v="ORD0224"/>
    <d v="2024-03-08T00:00:00"/>
    <s v="CUST0224"/>
    <s v="Pooja"/>
    <s v="Female"/>
    <n v="55"/>
    <s v="Bangalore"/>
    <x v="2"/>
    <x v="0"/>
    <x v="4"/>
    <x v="2"/>
    <s v="Pending"/>
    <n v="1"/>
    <n v="22215"/>
    <n v="21104.25"/>
    <n v="6901.45"/>
  </r>
  <r>
    <s v="ORD0225"/>
    <d v="2024-08-05T00:00:00"/>
    <s v="CUST0225"/>
    <s v="Neha"/>
    <s v="Male"/>
    <n v="45"/>
    <s v="Pune"/>
    <x v="0"/>
    <x v="0"/>
    <x v="3"/>
    <x v="3"/>
    <s v="Pending"/>
    <n v="2"/>
    <n v="22006"/>
    <n v="41811.4"/>
    <n v="9512.5"/>
  </r>
  <r>
    <s v="ORD0226"/>
    <d v="2024-11-19T00:00:00"/>
    <s v="CUST0226"/>
    <s v="Ananya"/>
    <s v="Male"/>
    <n v="52"/>
    <s v="Mumbai"/>
    <x v="1"/>
    <x v="0"/>
    <x v="4"/>
    <x v="1"/>
    <s v="Cancelled"/>
    <n v="3"/>
    <n v="2121"/>
    <n v="5090.3999999999996"/>
    <n v="1849.12"/>
  </r>
  <r>
    <s v="ORD0227"/>
    <d v="2024-12-14T00:00:00"/>
    <s v="CUST0227"/>
    <s v="Sneha"/>
    <s v="Male"/>
    <n v="18"/>
    <s v="Pune"/>
    <x v="1"/>
    <x v="2"/>
    <x v="3"/>
    <x v="4"/>
    <s v="Cancelled"/>
    <n v="1"/>
    <n v="1429"/>
    <n v="1429"/>
    <n v="542.17999999999995"/>
  </r>
  <r>
    <s v="ORD0228"/>
    <d v="2024-04-08T00:00:00"/>
    <s v="CUST0228"/>
    <s v="Amit"/>
    <s v="Female"/>
    <n v="31"/>
    <s v="Pune"/>
    <x v="0"/>
    <x v="2"/>
    <x v="1"/>
    <x v="4"/>
    <s v="Delivered"/>
    <n v="3"/>
    <n v="7507"/>
    <n v="19142.849999999999"/>
    <n v="7615.94"/>
  </r>
  <r>
    <s v="ORD0229"/>
    <d v="2024-06-08T00:00:00"/>
    <s v="CUST0229"/>
    <s v="Aarav"/>
    <s v="Male"/>
    <n v="57"/>
    <s v="Chennai"/>
    <x v="2"/>
    <x v="2"/>
    <x v="2"/>
    <x v="4"/>
    <s v="Pending"/>
    <n v="5"/>
    <n v="33866"/>
    <n v="143930.5"/>
    <n v="24555.93"/>
  </r>
  <r>
    <s v="ORD0230"/>
    <d v="2024-06-18T00:00:00"/>
    <s v="CUST0230"/>
    <s v="Vikram"/>
    <s v="Female"/>
    <n v="55"/>
    <s v="Delhi"/>
    <x v="1"/>
    <x v="1"/>
    <x v="4"/>
    <x v="1"/>
    <s v="Delivered"/>
    <n v="4"/>
    <n v="25930"/>
    <n v="93348"/>
    <n v="22453.21"/>
  </r>
  <r>
    <s v="ORD0231"/>
    <d v="2024-01-16T00:00:00"/>
    <s v="CUST0231"/>
    <s v="Neha"/>
    <s v="Female"/>
    <n v="55"/>
    <s v="Mumbai"/>
    <x v="0"/>
    <x v="0"/>
    <x v="1"/>
    <x v="1"/>
    <s v="Delivered"/>
    <n v="3"/>
    <n v="16249"/>
    <n v="48747"/>
    <n v="8175.25"/>
  </r>
  <r>
    <s v="ORD0232"/>
    <d v="2024-12-25T00:00:00"/>
    <s v="CUST0232"/>
    <s v="Sneha"/>
    <s v="Female"/>
    <n v="42"/>
    <s v="Delhi"/>
    <x v="0"/>
    <x v="0"/>
    <x v="4"/>
    <x v="0"/>
    <s v="Cancelled"/>
    <n v="1"/>
    <n v="44459"/>
    <n v="40013.1"/>
    <n v="13491.59"/>
  </r>
  <r>
    <s v="ORD0233"/>
    <d v="2024-04-05T00:00:00"/>
    <s v="CUST0233"/>
    <s v="Sneha"/>
    <s v="Male"/>
    <n v="50"/>
    <s v="Mumbai"/>
    <x v="0"/>
    <x v="1"/>
    <x v="0"/>
    <x v="3"/>
    <s v="Returned"/>
    <n v="4"/>
    <n v="23873"/>
    <n v="76393.600000000006"/>
    <n v="20161.509999999998"/>
  </r>
  <r>
    <s v="ORD0234"/>
    <d v="2024-07-04T00:00:00"/>
    <s v="CUST0234"/>
    <s v="Rahul"/>
    <s v="Male"/>
    <n v="47"/>
    <s v="Bangalore"/>
    <x v="0"/>
    <x v="0"/>
    <x v="4"/>
    <x v="0"/>
    <s v="Pending"/>
    <n v="4"/>
    <n v="10767"/>
    <n v="34454.400000000001"/>
    <n v="11824.64"/>
  </r>
  <r>
    <s v="ORD0235"/>
    <d v="2024-05-28T00:00:00"/>
    <s v="CUST0235"/>
    <s v="Rahul"/>
    <s v="Male"/>
    <n v="35"/>
    <s v="Mumbai"/>
    <x v="2"/>
    <x v="2"/>
    <x v="3"/>
    <x v="2"/>
    <s v="Pending"/>
    <n v="2"/>
    <n v="17432"/>
    <n v="34864"/>
    <n v="10484.790000000001"/>
  </r>
  <r>
    <s v="ORD0236"/>
    <d v="2024-02-20T00:00:00"/>
    <s v="CUST0236"/>
    <s v="Aarav"/>
    <s v="Female"/>
    <n v="48"/>
    <s v="Hyderabad"/>
    <x v="0"/>
    <x v="0"/>
    <x v="3"/>
    <x v="2"/>
    <s v="Returned"/>
    <n v="2"/>
    <n v="13525"/>
    <n v="24345"/>
    <n v="3800.74"/>
  </r>
  <r>
    <s v="ORD0237"/>
    <d v="2024-03-30T00:00:00"/>
    <s v="CUST0237"/>
    <s v="Priya"/>
    <s v="Male"/>
    <n v="19"/>
    <s v="Mumbai"/>
    <x v="0"/>
    <x v="1"/>
    <x v="4"/>
    <x v="4"/>
    <s v="Delivered"/>
    <n v="3"/>
    <n v="45832"/>
    <n v="109996.8"/>
    <n v="36485.980000000003"/>
  </r>
  <r>
    <s v="ORD0238"/>
    <d v="2024-03-04T00:00:00"/>
    <s v="CUST0238"/>
    <s v="Rohan"/>
    <s v="Male"/>
    <n v="41"/>
    <s v="Pune"/>
    <x v="1"/>
    <x v="0"/>
    <x v="4"/>
    <x v="2"/>
    <s v="Delivered"/>
    <n v="4"/>
    <n v="48662"/>
    <n v="175183.2"/>
    <n v="61045.3"/>
  </r>
  <r>
    <s v="ORD0239"/>
    <d v="2024-05-30T00:00:00"/>
    <s v="CUST0239"/>
    <s v="Priya"/>
    <s v="Female"/>
    <n v="32"/>
    <s v="Bangalore"/>
    <x v="2"/>
    <x v="1"/>
    <x v="4"/>
    <x v="1"/>
    <s v="Pending"/>
    <n v="3"/>
    <n v="8306"/>
    <n v="19934.400000000001"/>
    <n v="3565.42"/>
  </r>
  <r>
    <s v="ORD0240"/>
    <d v="2024-03-18T00:00:00"/>
    <s v="CUST0240"/>
    <s v="Aarav"/>
    <s v="Female"/>
    <n v="23"/>
    <s v="Delhi"/>
    <x v="0"/>
    <x v="2"/>
    <x v="4"/>
    <x v="3"/>
    <s v="Delivered"/>
    <n v="3"/>
    <n v="10438"/>
    <n v="31314"/>
    <n v="5023.3"/>
  </r>
  <r>
    <s v="ORD0241"/>
    <d v="2024-04-08T00:00:00"/>
    <s v="CUST0241"/>
    <s v="Rohan"/>
    <s v="Female"/>
    <n v="48"/>
    <s v="Delhi"/>
    <x v="0"/>
    <x v="2"/>
    <x v="0"/>
    <x v="3"/>
    <s v="Pending"/>
    <n v="5"/>
    <n v="38003"/>
    <n v="180514.25"/>
    <n v="61042.71"/>
  </r>
  <r>
    <s v="ORD0242"/>
    <d v="2024-01-11T00:00:00"/>
    <s v="CUST0242"/>
    <s v="Aarav"/>
    <s v="Female"/>
    <n v="56"/>
    <s v="Delhi"/>
    <x v="2"/>
    <x v="0"/>
    <x v="0"/>
    <x v="2"/>
    <s v="Returned"/>
    <n v="2"/>
    <n v="3531"/>
    <n v="6708.9"/>
    <n v="2104.41"/>
  </r>
  <r>
    <s v="ORD0243"/>
    <d v="2024-07-16T00:00:00"/>
    <s v="CUST0243"/>
    <s v="Amit"/>
    <s v="Female"/>
    <n v="33"/>
    <s v="Mumbai"/>
    <x v="0"/>
    <x v="2"/>
    <x v="2"/>
    <x v="0"/>
    <s v="Pending"/>
    <n v="1"/>
    <n v="31153"/>
    <n v="28037.7"/>
    <n v="5163.8"/>
  </r>
  <r>
    <s v="ORD0244"/>
    <d v="2024-10-15T00:00:00"/>
    <s v="CUST0244"/>
    <s v="Sneha"/>
    <s v="Female"/>
    <n v="25"/>
    <s v="Pune"/>
    <x v="0"/>
    <x v="1"/>
    <x v="0"/>
    <x v="3"/>
    <s v="Pending"/>
    <n v="3"/>
    <n v="14406"/>
    <n v="34574.400000000001"/>
    <n v="6351.96"/>
  </r>
  <r>
    <s v="ORD0245"/>
    <d v="2024-03-24T00:00:00"/>
    <s v="CUST0245"/>
    <s v="Aarav"/>
    <s v="Female"/>
    <n v="55"/>
    <s v="Mumbai"/>
    <x v="0"/>
    <x v="0"/>
    <x v="3"/>
    <x v="2"/>
    <s v="Delivered"/>
    <n v="3"/>
    <n v="47473"/>
    <n v="142419"/>
    <n v="35088.25"/>
  </r>
  <r>
    <s v="ORD0246"/>
    <d v="2024-03-29T00:00:00"/>
    <s v="CUST0246"/>
    <s v="Priya"/>
    <s v="Male"/>
    <n v="33"/>
    <s v="Chennai"/>
    <x v="2"/>
    <x v="1"/>
    <x v="4"/>
    <x v="1"/>
    <s v="Returned"/>
    <n v="5"/>
    <n v="37805"/>
    <n v="160671.25"/>
    <n v="37749.25"/>
  </r>
  <r>
    <s v="ORD0247"/>
    <d v="2024-08-27T00:00:00"/>
    <s v="CUST0247"/>
    <s v="Sneha"/>
    <s v="Male"/>
    <n v="28"/>
    <s v="Hyderabad"/>
    <x v="0"/>
    <x v="1"/>
    <x v="0"/>
    <x v="4"/>
    <s v="Pending"/>
    <n v="5"/>
    <n v="9191"/>
    <n v="45955"/>
    <n v="15452.33"/>
  </r>
  <r>
    <s v="ORD0248"/>
    <d v="2024-11-24T00:00:00"/>
    <s v="CUST0248"/>
    <s v="Aarav"/>
    <s v="Female"/>
    <n v="21"/>
    <s v="Delhi"/>
    <x v="2"/>
    <x v="2"/>
    <x v="4"/>
    <x v="0"/>
    <s v="Cancelled"/>
    <n v="5"/>
    <n v="7523"/>
    <n v="33853.5"/>
    <n v="8538.81"/>
  </r>
  <r>
    <s v="ORD0249"/>
    <d v="2024-07-18T00:00:00"/>
    <s v="CUST0249"/>
    <s v="Rohan"/>
    <s v="Male"/>
    <n v="22"/>
    <s v="Hyderabad"/>
    <x v="1"/>
    <x v="1"/>
    <x v="3"/>
    <x v="2"/>
    <s v="Cancelled"/>
    <n v="1"/>
    <n v="13874"/>
    <n v="12486.6"/>
    <n v="3767.07"/>
  </r>
  <r>
    <s v="ORD0250"/>
    <d v="2024-12-31T00:00:00"/>
    <s v="CUST0250"/>
    <s v="Rahul"/>
    <s v="Female"/>
    <n v="37"/>
    <s v="Delhi"/>
    <x v="0"/>
    <x v="0"/>
    <x v="0"/>
    <x v="3"/>
    <s v="Pending"/>
    <n v="2"/>
    <n v="18106"/>
    <n v="34401.4"/>
    <n v="11845.75"/>
  </r>
  <r>
    <s v="ORD0251"/>
    <d v="2024-12-22T00:00:00"/>
    <s v="CUST0251"/>
    <s v="Neha"/>
    <s v="Female"/>
    <n v="41"/>
    <s v="Chennai"/>
    <x v="2"/>
    <x v="2"/>
    <x v="1"/>
    <x v="1"/>
    <s v="Delivered"/>
    <n v="3"/>
    <n v="34417"/>
    <n v="98088.45"/>
    <n v="36627.19"/>
  </r>
  <r>
    <s v="ORD0252"/>
    <d v="2024-04-22T00:00:00"/>
    <s v="CUST0252"/>
    <s v="Rohan"/>
    <s v="Female"/>
    <n v="18"/>
    <s v="Delhi"/>
    <x v="0"/>
    <x v="0"/>
    <x v="3"/>
    <x v="1"/>
    <s v="Delivered"/>
    <n v="1"/>
    <n v="41497"/>
    <n v="35272.449999999997"/>
    <n v="12135.43"/>
  </r>
  <r>
    <s v="ORD0253"/>
    <d v="2024-12-15T00:00:00"/>
    <s v="CUST0253"/>
    <s v="Rahul"/>
    <s v="Male"/>
    <n v="26"/>
    <s v="Delhi"/>
    <x v="0"/>
    <x v="0"/>
    <x v="0"/>
    <x v="0"/>
    <s v="Returned"/>
    <n v="5"/>
    <n v="27348"/>
    <n v="109392"/>
    <n v="36452.94"/>
  </r>
  <r>
    <s v="ORD0254"/>
    <d v="2024-03-09T00:00:00"/>
    <s v="CUST0254"/>
    <s v="Neha"/>
    <s v="Male"/>
    <n v="56"/>
    <s v="Bangalore"/>
    <x v="0"/>
    <x v="1"/>
    <x v="1"/>
    <x v="2"/>
    <s v="Cancelled"/>
    <n v="4"/>
    <n v="5326"/>
    <n v="18108.400000000001"/>
    <n v="6325.29"/>
  </r>
  <r>
    <s v="ORD0255"/>
    <d v="2024-06-29T00:00:00"/>
    <s v="CUST0255"/>
    <s v="Ananya"/>
    <s v="Male"/>
    <n v="60"/>
    <s v="Mumbai"/>
    <x v="0"/>
    <x v="0"/>
    <x v="0"/>
    <x v="2"/>
    <s v="Pending"/>
    <n v="1"/>
    <n v="2170"/>
    <n v="1844.5"/>
    <n v="578.52"/>
  </r>
  <r>
    <s v="ORD0256"/>
    <d v="2024-03-21T00:00:00"/>
    <s v="CUST0256"/>
    <s v="Sneha"/>
    <s v="Male"/>
    <n v="56"/>
    <s v="Chennai"/>
    <x v="1"/>
    <x v="1"/>
    <x v="3"/>
    <x v="2"/>
    <s v="Delivered"/>
    <n v="5"/>
    <n v="47874"/>
    <n v="191496"/>
    <n v="33167.300000000003"/>
  </r>
  <r>
    <s v="ORD0257"/>
    <d v="2024-04-16T00:00:00"/>
    <s v="CUST0257"/>
    <s v="Priya"/>
    <s v="Male"/>
    <n v="51"/>
    <s v="Bangalore"/>
    <x v="0"/>
    <x v="2"/>
    <x v="2"/>
    <x v="0"/>
    <s v="Delivered"/>
    <n v="3"/>
    <n v="43466"/>
    <n v="123878.1"/>
    <n v="28288.17"/>
  </r>
  <r>
    <s v="ORD0258"/>
    <d v="2024-02-29T00:00:00"/>
    <s v="CUST0258"/>
    <s v="Neha"/>
    <s v="Female"/>
    <n v="46"/>
    <s v="Chennai"/>
    <x v="0"/>
    <x v="1"/>
    <x v="3"/>
    <x v="1"/>
    <s v="Cancelled"/>
    <n v="3"/>
    <n v="16527"/>
    <n v="47101.95"/>
    <n v="14185.01"/>
  </r>
  <r>
    <s v="ORD0259"/>
    <d v="2024-10-10T00:00:00"/>
    <s v="CUST0259"/>
    <s v="Priya"/>
    <s v="Female"/>
    <n v="39"/>
    <s v="Hyderabad"/>
    <x v="0"/>
    <x v="0"/>
    <x v="1"/>
    <x v="0"/>
    <s v="Cancelled"/>
    <n v="2"/>
    <n v="44425"/>
    <n v="75522.5"/>
    <n v="26729.17"/>
  </r>
  <r>
    <s v="ORD0260"/>
    <d v="2024-12-19T00:00:00"/>
    <s v="CUST0260"/>
    <s v="Rohan"/>
    <s v="Female"/>
    <n v="33"/>
    <s v="Mumbai"/>
    <x v="2"/>
    <x v="1"/>
    <x v="4"/>
    <x v="0"/>
    <s v="Pending"/>
    <n v="2"/>
    <n v="44961"/>
    <n v="80929.8"/>
    <n v="27710.5"/>
  </r>
  <r>
    <s v="ORD0261"/>
    <d v="2024-08-21T00:00:00"/>
    <s v="CUST0261"/>
    <s v="Amit"/>
    <s v="Male"/>
    <n v="47"/>
    <s v="Mumbai"/>
    <x v="2"/>
    <x v="0"/>
    <x v="3"/>
    <x v="1"/>
    <s v="Delivered"/>
    <n v="1"/>
    <n v="19047"/>
    <n v="19047"/>
    <n v="5524.91"/>
  </r>
  <r>
    <s v="ORD0262"/>
    <d v="2024-10-08T00:00:00"/>
    <s v="CUST0262"/>
    <s v="Aarav"/>
    <s v="Male"/>
    <n v="35"/>
    <s v="Bangalore"/>
    <x v="0"/>
    <x v="2"/>
    <x v="2"/>
    <x v="2"/>
    <s v="Pending"/>
    <n v="3"/>
    <n v="4771"/>
    <n v="14313"/>
    <n v="4284.08"/>
  </r>
  <r>
    <s v="ORD0263"/>
    <d v="2024-11-03T00:00:00"/>
    <s v="CUST0263"/>
    <s v="Priya"/>
    <s v="Female"/>
    <n v="53"/>
    <s v="Hyderabad"/>
    <x v="0"/>
    <x v="0"/>
    <x v="2"/>
    <x v="3"/>
    <s v="Cancelled"/>
    <n v="1"/>
    <n v="12197"/>
    <n v="9757.6"/>
    <n v="2540.3000000000002"/>
  </r>
  <r>
    <s v="ORD0264"/>
    <d v="2024-06-01T00:00:00"/>
    <s v="CUST0264"/>
    <s v="Rohan"/>
    <s v="Female"/>
    <n v="47"/>
    <s v="Chennai"/>
    <x v="0"/>
    <x v="0"/>
    <x v="1"/>
    <x v="0"/>
    <s v="Returned"/>
    <n v="5"/>
    <n v="22068"/>
    <n v="88272"/>
    <n v="18632.990000000002"/>
  </r>
  <r>
    <s v="ORD0265"/>
    <d v="2024-02-05T00:00:00"/>
    <s v="CUST0265"/>
    <s v="Vikram"/>
    <s v="Male"/>
    <n v="29"/>
    <s v="Mumbai"/>
    <x v="0"/>
    <x v="1"/>
    <x v="4"/>
    <x v="4"/>
    <s v="Pending"/>
    <n v="5"/>
    <n v="34311"/>
    <n v="162977.25"/>
    <n v="63821.43"/>
  </r>
  <r>
    <s v="ORD0266"/>
    <d v="2024-05-16T00:00:00"/>
    <s v="CUST0266"/>
    <s v="Rohan"/>
    <s v="Female"/>
    <n v="26"/>
    <s v="Bangalore"/>
    <x v="0"/>
    <x v="1"/>
    <x v="2"/>
    <x v="0"/>
    <s v="Returned"/>
    <n v="2"/>
    <n v="28344"/>
    <n v="48184.800000000003"/>
    <n v="16993.5"/>
  </r>
  <r>
    <s v="ORD0267"/>
    <d v="2024-04-02T00:00:00"/>
    <s v="CUST0267"/>
    <s v="Rahul"/>
    <s v="Female"/>
    <n v="38"/>
    <s v="Pune"/>
    <x v="0"/>
    <x v="2"/>
    <x v="3"/>
    <x v="2"/>
    <s v="Delivered"/>
    <n v="3"/>
    <n v="36149"/>
    <n v="108447"/>
    <n v="32676.76"/>
  </r>
  <r>
    <s v="ORD0268"/>
    <d v="2024-01-09T00:00:00"/>
    <s v="CUST0268"/>
    <s v="Rahul"/>
    <s v="Male"/>
    <n v="46"/>
    <s v="Delhi"/>
    <x v="0"/>
    <x v="0"/>
    <x v="2"/>
    <x v="3"/>
    <s v="Cancelled"/>
    <n v="3"/>
    <n v="8613"/>
    <n v="20671.2"/>
    <n v="3466.05"/>
  </r>
  <r>
    <s v="ORD0269"/>
    <d v="2024-08-31T00:00:00"/>
    <s v="CUST0269"/>
    <s v="Aarav"/>
    <s v="Male"/>
    <n v="39"/>
    <s v="Mumbai"/>
    <x v="2"/>
    <x v="2"/>
    <x v="3"/>
    <x v="3"/>
    <s v="Returned"/>
    <n v="5"/>
    <n v="6207"/>
    <n v="29483.25"/>
    <n v="9709.65"/>
  </r>
  <r>
    <s v="ORD0270"/>
    <d v="2024-11-06T00:00:00"/>
    <s v="CUST0270"/>
    <s v="Neha"/>
    <s v="Female"/>
    <n v="28"/>
    <s v="Mumbai"/>
    <x v="0"/>
    <x v="0"/>
    <x v="4"/>
    <x v="1"/>
    <s v="Pending"/>
    <n v="2"/>
    <n v="45702"/>
    <n v="91404"/>
    <n v="26393.79"/>
  </r>
  <r>
    <s v="ORD0271"/>
    <d v="2024-12-20T00:00:00"/>
    <s v="CUST0271"/>
    <s v="Sneha"/>
    <s v="Female"/>
    <n v="56"/>
    <s v="Bangalore"/>
    <x v="0"/>
    <x v="1"/>
    <x v="0"/>
    <x v="2"/>
    <s v="Pending"/>
    <n v="1"/>
    <n v="2112"/>
    <n v="1795.2"/>
    <n v="281.57"/>
  </r>
  <r>
    <s v="ORD0272"/>
    <d v="2024-11-13T00:00:00"/>
    <s v="CUST0272"/>
    <s v="Ananya"/>
    <s v="Male"/>
    <n v="58"/>
    <s v="Chennai"/>
    <x v="1"/>
    <x v="0"/>
    <x v="4"/>
    <x v="2"/>
    <s v="Cancelled"/>
    <n v="5"/>
    <n v="40123"/>
    <n v="190584.25"/>
    <n v="51088.21"/>
  </r>
  <r>
    <s v="ORD0273"/>
    <d v="2024-03-23T00:00:00"/>
    <s v="CUST0273"/>
    <s v="Sneha"/>
    <s v="Female"/>
    <n v="42"/>
    <s v="Pune"/>
    <x v="0"/>
    <x v="2"/>
    <x v="3"/>
    <x v="0"/>
    <s v="Returned"/>
    <n v="2"/>
    <n v="1310"/>
    <n v="2358"/>
    <n v="660.16"/>
  </r>
  <r>
    <s v="ORD0274"/>
    <d v="2024-02-18T00:00:00"/>
    <s v="CUST0274"/>
    <s v="Amit"/>
    <s v="Male"/>
    <n v="25"/>
    <s v="Delhi"/>
    <x v="0"/>
    <x v="0"/>
    <x v="0"/>
    <x v="0"/>
    <s v="Returned"/>
    <n v="1"/>
    <n v="18467"/>
    <n v="16620.3"/>
    <n v="2593.23"/>
  </r>
  <r>
    <s v="ORD0275"/>
    <d v="2024-09-07T00:00:00"/>
    <s v="CUST0275"/>
    <s v="Rahul"/>
    <s v="Female"/>
    <n v="19"/>
    <s v="Delhi"/>
    <x v="0"/>
    <x v="2"/>
    <x v="4"/>
    <x v="0"/>
    <s v="Pending"/>
    <n v="5"/>
    <n v="31677"/>
    <n v="150465.75"/>
    <n v="47194.81"/>
  </r>
  <r>
    <s v="ORD0276"/>
    <d v="2024-05-18T00:00:00"/>
    <s v="CUST0276"/>
    <s v="Priya"/>
    <s v="Female"/>
    <n v="22"/>
    <s v="Mumbai"/>
    <x v="0"/>
    <x v="1"/>
    <x v="3"/>
    <x v="0"/>
    <s v="Cancelled"/>
    <n v="5"/>
    <n v="15436"/>
    <n v="77180"/>
    <n v="21044.61"/>
  </r>
  <r>
    <s v="ORD0277"/>
    <d v="2024-03-19T00:00:00"/>
    <s v="CUST0277"/>
    <s v="Rohan"/>
    <s v="Male"/>
    <n v="37"/>
    <s v="Chennai"/>
    <x v="0"/>
    <x v="2"/>
    <x v="1"/>
    <x v="4"/>
    <s v="Returned"/>
    <n v="1"/>
    <n v="2070"/>
    <n v="1966.5"/>
    <n v="682.75"/>
  </r>
  <r>
    <s v="ORD0278"/>
    <d v="2024-01-23T00:00:00"/>
    <s v="CUST0278"/>
    <s v="Rohan"/>
    <s v="Female"/>
    <n v="40"/>
    <s v="Hyderabad"/>
    <x v="1"/>
    <x v="0"/>
    <x v="1"/>
    <x v="0"/>
    <s v="Cancelled"/>
    <n v="5"/>
    <n v="1884"/>
    <n v="9420"/>
    <n v="3337.13"/>
  </r>
  <r>
    <s v="ORD0279"/>
    <d v="2024-07-01T00:00:00"/>
    <s v="CUST0279"/>
    <s v="Aarav"/>
    <s v="Male"/>
    <n v="29"/>
    <s v="Delhi"/>
    <x v="0"/>
    <x v="0"/>
    <x v="4"/>
    <x v="3"/>
    <s v="Returned"/>
    <n v="3"/>
    <n v="41909"/>
    <n v="125727"/>
    <n v="38845.46"/>
  </r>
  <r>
    <s v="ORD0280"/>
    <d v="2024-10-05T00:00:00"/>
    <s v="CUST0280"/>
    <s v="Rahul"/>
    <s v="Female"/>
    <n v="42"/>
    <s v="Chennai"/>
    <x v="2"/>
    <x v="1"/>
    <x v="1"/>
    <x v="2"/>
    <s v="Returned"/>
    <n v="3"/>
    <n v="12324"/>
    <n v="31426.2"/>
    <n v="9393.48"/>
  </r>
  <r>
    <s v="ORD0281"/>
    <d v="2024-06-07T00:00:00"/>
    <s v="CUST0281"/>
    <s v="Rohan"/>
    <s v="Male"/>
    <n v="59"/>
    <s v="Bangalore"/>
    <x v="0"/>
    <x v="0"/>
    <x v="2"/>
    <x v="2"/>
    <s v="Delivered"/>
    <n v="5"/>
    <n v="32485"/>
    <n v="162425"/>
    <n v="27757"/>
  </r>
  <r>
    <s v="ORD0282"/>
    <d v="2024-08-24T00:00:00"/>
    <s v="CUST0282"/>
    <s v="Rohan"/>
    <s v="Male"/>
    <n v="21"/>
    <s v="Delhi"/>
    <x v="0"/>
    <x v="1"/>
    <x v="2"/>
    <x v="2"/>
    <s v="Pending"/>
    <n v="2"/>
    <n v="47613"/>
    <n v="80942.100000000006"/>
    <n v="15848.96"/>
  </r>
  <r>
    <s v="ORD0283"/>
    <d v="2024-10-18T00:00:00"/>
    <s v="CUST0283"/>
    <s v="Ananya"/>
    <s v="Female"/>
    <n v="25"/>
    <s v="Pune"/>
    <x v="0"/>
    <x v="2"/>
    <x v="4"/>
    <x v="4"/>
    <s v="Cancelled"/>
    <n v="3"/>
    <n v="42425"/>
    <n v="108183.75"/>
    <n v="22369.61"/>
  </r>
  <r>
    <s v="ORD0284"/>
    <d v="2024-05-08T00:00:00"/>
    <s v="CUST0284"/>
    <s v="Pooja"/>
    <s v="Male"/>
    <n v="41"/>
    <s v="Hyderabad"/>
    <x v="0"/>
    <x v="1"/>
    <x v="1"/>
    <x v="4"/>
    <s v="Returned"/>
    <n v="1"/>
    <n v="21755"/>
    <n v="20667.25"/>
    <n v="3807.53"/>
  </r>
  <r>
    <s v="ORD0285"/>
    <d v="2024-01-12T00:00:00"/>
    <s v="CUST0285"/>
    <s v="Amit"/>
    <s v="Male"/>
    <n v="55"/>
    <s v="Pune"/>
    <x v="0"/>
    <x v="2"/>
    <x v="1"/>
    <x v="1"/>
    <s v="Cancelled"/>
    <n v="5"/>
    <n v="14418"/>
    <n v="72090"/>
    <n v="22093.79"/>
  </r>
  <r>
    <s v="ORD0286"/>
    <d v="2024-04-12T00:00:00"/>
    <s v="CUST0286"/>
    <s v="Rohan"/>
    <s v="Male"/>
    <n v="20"/>
    <s v="Hyderabad"/>
    <x v="0"/>
    <x v="0"/>
    <x v="1"/>
    <x v="2"/>
    <s v="Pending"/>
    <n v="1"/>
    <n v="6929"/>
    <n v="6236.1"/>
    <n v="2142.8000000000002"/>
  </r>
  <r>
    <s v="ORD0287"/>
    <d v="2024-09-21T00:00:00"/>
    <s v="CUST0287"/>
    <s v="Amit"/>
    <s v="Male"/>
    <n v="36"/>
    <s v="Pune"/>
    <x v="0"/>
    <x v="1"/>
    <x v="1"/>
    <x v="2"/>
    <s v="Returned"/>
    <n v="4"/>
    <n v="31249"/>
    <n v="112496.4"/>
    <n v="31119.01"/>
  </r>
  <r>
    <s v="ORD0288"/>
    <d v="2024-06-11T00:00:00"/>
    <s v="CUST0288"/>
    <s v="Neha"/>
    <s v="Male"/>
    <n v="51"/>
    <s v="Mumbai"/>
    <x v="0"/>
    <x v="2"/>
    <x v="4"/>
    <x v="4"/>
    <s v="Delivered"/>
    <n v="1"/>
    <n v="11977"/>
    <n v="11977"/>
    <n v="3015.85"/>
  </r>
  <r>
    <s v="ORD0289"/>
    <d v="2024-07-15T00:00:00"/>
    <s v="CUST0289"/>
    <s v="Neha"/>
    <s v="Female"/>
    <n v="59"/>
    <s v="Mumbai"/>
    <x v="0"/>
    <x v="2"/>
    <x v="2"/>
    <x v="2"/>
    <s v="Cancelled"/>
    <n v="3"/>
    <n v="29609"/>
    <n v="71061.600000000006"/>
    <n v="22827.56"/>
  </r>
  <r>
    <s v="ORD0290"/>
    <d v="2024-01-24T00:00:00"/>
    <s v="CUST0290"/>
    <s v="Pooja"/>
    <s v="Male"/>
    <n v="24"/>
    <s v="Pune"/>
    <x v="0"/>
    <x v="0"/>
    <x v="2"/>
    <x v="2"/>
    <s v="Pending"/>
    <n v="4"/>
    <n v="26317"/>
    <n v="94741.2"/>
    <n v="34564.53"/>
  </r>
  <r>
    <s v="ORD0291"/>
    <d v="2024-09-17T00:00:00"/>
    <s v="CUST0291"/>
    <s v="Ananya"/>
    <s v="Male"/>
    <n v="49"/>
    <s v="Bangalore"/>
    <x v="0"/>
    <x v="2"/>
    <x v="1"/>
    <x v="2"/>
    <s v="Returned"/>
    <n v="3"/>
    <n v="38712"/>
    <n v="104522.4"/>
    <n v="36101.269999999997"/>
  </r>
  <r>
    <s v="ORD0292"/>
    <d v="2024-10-29T00:00:00"/>
    <s v="CUST0292"/>
    <s v="Amit"/>
    <s v="Female"/>
    <n v="32"/>
    <s v="Hyderabad"/>
    <x v="0"/>
    <x v="1"/>
    <x v="4"/>
    <x v="4"/>
    <s v="Delivered"/>
    <n v="2"/>
    <n v="41107"/>
    <n v="65771.199999999997"/>
    <n v="19000.009999999998"/>
  </r>
  <r>
    <s v="ORD0293"/>
    <d v="2024-04-13T00:00:00"/>
    <s v="CUST0293"/>
    <s v="Vikram"/>
    <s v="Male"/>
    <n v="48"/>
    <s v="Hyderabad"/>
    <x v="0"/>
    <x v="2"/>
    <x v="2"/>
    <x v="3"/>
    <s v="Delivered"/>
    <n v="4"/>
    <n v="9848"/>
    <n v="31513.599999999999"/>
    <n v="4913.43"/>
  </r>
  <r>
    <s v="ORD0294"/>
    <d v="2024-10-06T00:00:00"/>
    <s v="CUST0294"/>
    <s v="Aarav"/>
    <s v="Female"/>
    <n v="60"/>
    <s v="Chennai"/>
    <x v="1"/>
    <x v="1"/>
    <x v="2"/>
    <x v="2"/>
    <s v="Cancelled"/>
    <n v="1"/>
    <n v="32688"/>
    <n v="31053.599999999999"/>
    <n v="5965.94"/>
  </r>
  <r>
    <s v="ORD0295"/>
    <d v="2024-06-11T00:00:00"/>
    <s v="CUST0295"/>
    <s v="Ananya"/>
    <s v="Male"/>
    <n v="55"/>
    <s v="Pune"/>
    <x v="0"/>
    <x v="1"/>
    <x v="1"/>
    <x v="4"/>
    <s v="Delivered"/>
    <n v="1"/>
    <n v="44040"/>
    <n v="44040"/>
    <n v="14011.47"/>
  </r>
  <r>
    <s v="ORD0296"/>
    <d v="2024-08-08T00:00:00"/>
    <s v="CUST0296"/>
    <s v="Rahul"/>
    <s v="Female"/>
    <n v="31"/>
    <s v="Bangalore"/>
    <x v="0"/>
    <x v="1"/>
    <x v="3"/>
    <x v="0"/>
    <s v="Returned"/>
    <n v="5"/>
    <n v="45900"/>
    <n v="206550"/>
    <n v="41403.370000000003"/>
  </r>
  <r>
    <s v="ORD0297"/>
    <d v="2024-06-18T00:00:00"/>
    <s v="CUST0297"/>
    <s v="Aarav"/>
    <s v="Male"/>
    <n v="31"/>
    <s v="Chennai"/>
    <x v="0"/>
    <x v="1"/>
    <x v="2"/>
    <x v="3"/>
    <s v="Returned"/>
    <n v="3"/>
    <n v="6937"/>
    <n v="19770.45"/>
    <n v="5496.63"/>
  </r>
  <r>
    <s v="ORD0298"/>
    <d v="2024-01-20T00:00:00"/>
    <s v="CUST0298"/>
    <s v="Rahul"/>
    <s v="Male"/>
    <n v="31"/>
    <s v="Bangalore"/>
    <x v="0"/>
    <x v="1"/>
    <x v="0"/>
    <x v="1"/>
    <s v="Delivered"/>
    <n v="2"/>
    <n v="8557"/>
    <n v="15402.6"/>
    <n v="3622.98"/>
  </r>
  <r>
    <s v="ORD0299"/>
    <d v="2024-05-31T00:00:00"/>
    <s v="CUST0299"/>
    <s v="Aarav"/>
    <s v="Male"/>
    <n v="26"/>
    <s v="Mumbai"/>
    <x v="0"/>
    <x v="0"/>
    <x v="2"/>
    <x v="1"/>
    <s v="Pending"/>
    <n v="2"/>
    <n v="30079"/>
    <n v="51134.3"/>
    <n v="12882.69"/>
  </r>
  <r>
    <s v="ORD0300"/>
    <d v="2024-11-02T00:00:00"/>
    <s v="CUST0300"/>
    <s v="Vikram"/>
    <s v="Male"/>
    <n v="53"/>
    <s v="Chennai"/>
    <x v="0"/>
    <x v="2"/>
    <x v="2"/>
    <x v="0"/>
    <s v="Cancelled"/>
    <n v="3"/>
    <n v="14206"/>
    <n v="40487.1"/>
    <n v="8518.89"/>
  </r>
  <r>
    <s v="ORD0301"/>
    <d v="2024-01-28T00:00:00"/>
    <s v="CUST0301"/>
    <s v="Rahul"/>
    <s v="Female"/>
    <n v="35"/>
    <s v="Hyderabad"/>
    <x v="0"/>
    <x v="2"/>
    <x v="2"/>
    <x v="1"/>
    <s v="Returned"/>
    <n v="1"/>
    <n v="36863"/>
    <n v="33176.699999999997"/>
    <n v="7983.4"/>
  </r>
  <r>
    <s v="ORD0302"/>
    <d v="2024-09-30T00:00:00"/>
    <s v="CUST0302"/>
    <s v="Neha"/>
    <s v="Male"/>
    <n v="24"/>
    <s v="Bangalore"/>
    <x v="0"/>
    <x v="0"/>
    <x v="0"/>
    <x v="3"/>
    <s v="Returned"/>
    <n v="1"/>
    <n v="48820"/>
    <n v="46379"/>
    <n v="7629.75"/>
  </r>
  <r>
    <s v="ORD0303"/>
    <d v="2024-03-31T00:00:00"/>
    <s v="CUST0303"/>
    <s v="Sneha"/>
    <s v="Female"/>
    <n v="34"/>
    <s v="Delhi"/>
    <x v="0"/>
    <x v="1"/>
    <x v="1"/>
    <x v="4"/>
    <s v="Returned"/>
    <n v="1"/>
    <n v="39602"/>
    <n v="39602"/>
    <n v="8349.25"/>
  </r>
  <r>
    <s v="ORD0304"/>
    <d v="2024-04-08T00:00:00"/>
    <s v="CUST0304"/>
    <s v="Priya"/>
    <s v="Male"/>
    <n v="35"/>
    <s v="Pune"/>
    <x v="0"/>
    <x v="1"/>
    <x v="3"/>
    <x v="1"/>
    <s v="Pending"/>
    <n v="2"/>
    <n v="14337"/>
    <n v="24372.9"/>
    <n v="8374.17"/>
  </r>
  <r>
    <s v="ORD0305"/>
    <d v="2024-03-06T00:00:00"/>
    <s v="CUST0305"/>
    <s v="Pooja"/>
    <s v="Female"/>
    <n v="37"/>
    <s v="Hyderabad"/>
    <x v="2"/>
    <x v="1"/>
    <x v="2"/>
    <x v="3"/>
    <s v="Returned"/>
    <n v="4"/>
    <n v="13158"/>
    <n v="44737.2"/>
    <n v="17209.37"/>
  </r>
  <r>
    <s v="ORD0306"/>
    <d v="2024-05-22T00:00:00"/>
    <s v="CUST0306"/>
    <s v="Sneha"/>
    <s v="Female"/>
    <n v="30"/>
    <s v="Delhi"/>
    <x v="0"/>
    <x v="1"/>
    <x v="4"/>
    <x v="4"/>
    <s v="Cancelled"/>
    <n v="5"/>
    <n v="45616"/>
    <n v="216676"/>
    <n v="47929.42"/>
  </r>
  <r>
    <s v="ORD0307"/>
    <d v="2024-09-07T00:00:00"/>
    <s v="CUST0307"/>
    <s v="Priya"/>
    <s v="Female"/>
    <n v="53"/>
    <s v="Chennai"/>
    <x v="0"/>
    <x v="1"/>
    <x v="0"/>
    <x v="2"/>
    <s v="Pending"/>
    <n v="4"/>
    <n v="24613"/>
    <n v="88606.8"/>
    <n v="20544.259999999998"/>
  </r>
  <r>
    <s v="ORD0308"/>
    <d v="2024-01-30T00:00:00"/>
    <s v="CUST0308"/>
    <s v="Pooja"/>
    <s v="Male"/>
    <n v="36"/>
    <s v="Mumbai"/>
    <x v="0"/>
    <x v="0"/>
    <x v="0"/>
    <x v="1"/>
    <s v="Pending"/>
    <n v="5"/>
    <n v="47059"/>
    <n v="223530.25"/>
    <n v="48935.54"/>
  </r>
  <r>
    <s v="ORD0309"/>
    <d v="2024-09-06T00:00:00"/>
    <s v="CUST0309"/>
    <s v="Sneha"/>
    <s v="Female"/>
    <n v="23"/>
    <s v="Chennai"/>
    <x v="0"/>
    <x v="2"/>
    <x v="3"/>
    <x v="1"/>
    <s v="Pending"/>
    <n v="5"/>
    <n v="11689"/>
    <n v="55522.75"/>
    <n v="20611.810000000001"/>
  </r>
  <r>
    <s v="ORD0310"/>
    <d v="2024-04-20T00:00:00"/>
    <s v="CUST0310"/>
    <s v="Amit"/>
    <s v="Male"/>
    <n v="23"/>
    <s v="Pune"/>
    <x v="2"/>
    <x v="2"/>
    <x v="2"/>
    <x v="4"/>
    <s v="Delivered"/>
    <n v="3"/>
    <n v="38400"/>
    <n v="115200"/>
    <n v="26500.560000000001"/>
  </r>
  <r>
    <s v="ORD0311"/>
    <d v="2024-09-08T00:00:00"/>
    <s v="CUST0311"/>
    <s v="Vikram"/>
    <s v="Male"/>
    <n v="50"/>
    <s v="Chennai"/>
    <x v="0"/>
    <x v="1"/>
    <x v="3"/>
    <x v="0"/>
    <s v="Delivered"/>
    <n v="1"/>
    <n v="34050"/>
    <n v="27240"/>
    <n v="10715.66"/>
  </r>
  <r>
    <s v="ORD0312"/>
    <d v="2024-10-18T00:00:00"/>
    <s v="CUST0312"/>
    <s v="Sneha"/>
    <s v="Female"/>
    <n v="35"/>
    <s v="Hyderabad"/>
    <x v="0"/>
    <x v="1"/>
    <x v="4"/>
    <x v="0"/>
    <s v="Cancelled"/>
    <n v="2"/>
    <n v="5943"/>
    <n v="10103.1"/>
    <n v="3195.1"/>
  </r>
  <r>
    <s v="ORD0313"/>
    <d v="2024-11-21T00:00:00"/>
    <s v="CUST0313"/>
    <s v="Rahul"/>
    <s v="Male"/>
    <n v="26"/>
    <s v="Pune"/>
    <x v="1"/>
    <x v="0"/>
    <x v="2"/>
    <x v="4"/>
    <s v="Returned"/>
    <n v="2"/>
    <n v="8173"/>
    <n v="14711.4"/>
    <n v="4548.9399999999996"/>
  </r>
  <r>
    <s v="ORD0314"/>
    <d v="2024-06-04T00:00:00"/>
    <s v="CUST0314"/>
    <s v="Vikram"/>
    <s v="Female"/>
    <n v="23"/>
    <s v="Hyderabad"/>
    <x v="0"/>
    <x v="1"/>
    <x v="3"/>
    <x v="0"/>
    <s v="Cancelled"/>
    <n v="4"/>
    <n v="21560"/>
    <n v="77616"/>
    <n v="18242.3"/>
  </r>
  <r>
    <s v="ORD0315"/>
    <d v="2024-09-02T00:00:00"/>
    <s v="CUST0315"/>
    <s v="Aarav"/>
    <s v="Male"/>
    <n v="57"/>
    <s v="Delhi"/>
    <x v="2"/>
    <x v="2"/>
    <x v="0"/>
    <x v="1"/>
    <s v="Pending"/>
    <n v="4"/>
    <n v="30465"/>
    <n v="115767"/>
    <n v="43937.89"/>
  </r>
  <r>
    <s v="ORD0316"/>
    <d v="2024-08-13T00:00:00"/>
    <s v="CUST0316"/>
    <s v="Ananya"/>
    <s v="Female"/>
    <n v="48"/>
    <s v="Hyderabad"/>
    <x v="0"/>
    <x v="2"/>
    <x v="2"/>
    <x v="4"/>
    <s v="Delivered"/>
    <n v="2"/>
    <n v="48521"/>
    <n v="92189.9"/>
    <n v="27369.5"/>
  </r>
  <r>
    <s v="ORD0317"/>
    <d v="2024-09-13T00:00:00"/>
    <s v="CUST0317"/>
    <s v="Aarav"/>
    <s v="Female"/>
    <n v="50"/>
    <s v="Pune"/>
    <x v="0"/>
    <x v="2"/>
    <x v="2"/>
    <x v="1"/>
    <s v="Delivered"/>
    <n v="4"/>
    <n v="1828"/>
    <n v="7312"/>
    <n v="2138.67"/>
  </r>
  <r>
    <s v="ORD0318"/>
    <d v="2024-08-01T00:00:00"/>
    <s v="CUST0318"/>
    <s v="Neha"/>
    <s v="Male"/>
    <n v="27"/>
    <s v="Pune"/>
    <x v="2"/>
    <x v="2"/>
    <x v="0"/>
    <x v="3"/>
    <s v="Returned"/>
    <n v="5"/>
    <n v="25780"/>
    <n v="116010"/>
    <n v="37720.410000000003"/>
  </r>
  <r>
    <s v="ORD0319"/>
    <d v="2024-05-25T00:00:00"/>
    <s v="CUST0319"/>
    <s v="Ananya"/>
    <s v="Male"/>
    <n v="22"/>
    <s v="Hyderabad"/>
    <x v="2"/>
    <x v="1"/>
    <x v="0"/>
    <x v="3"/>
    <s v="Delivered"/>
    <n v="5"/>
    <n v="11241"/>
    <n v="47774.25"/>
    <n v="10017.780000000001"/>
  </r>
  <r>
    <s v="ORD0320"/>
    <d v="2024-06-22T00:00:00"/>
    <s v="CUST0320"/>
    <s v="Pooja"/>
    <s v="Male"/>
    <n v="39"/>
    <s v="Mumbai"/>
    <x v="1"/>
    <x v="1"/>
    <x v="2"/>
    <x v="3"/>
    <s v="Cancelled"/>
    <n v="1"/>
    <n v="36380"/>
    <n v="32742"/>
    <n v="12690.82"/>
  </r>
  <r>
    <s v="ORD0321"/>
    <d v="2024-09-22T00:00:00"/>
    <s v="CUST0321"/>
    <s v="Rahul"/>
    <s v="Male"/>
    <n v="27"/>
    <s v="Pune"/>
    <x v="0"/>
    <x v="0"/>
    <x v="3"/>
    <x v="2"/>
    <s v="Delivered"/>
    <n v="4"/>
    <n v="12875"/>
    <n v="48925"/>
    <n v="11661.94"/>
  </r>
  <r>
    <s v="ORD0322"/>
    <d v="2024-02-17T00:00:00"/>
    <s v="CUST0322"/>
    <s v="Rohan"/>
    <s v="Female"/>
    <n v="39"/>
    <s v="Hyderabad"/>
    <x v="0"/>
    <x v="1"/>
    <x v="1"/>
    <x v="4"/>
    <s v="Cancelled"/>
    <n v="3"/>
    <n v="8545"/>
    <n v="23071.5"/>
    <n v="6588.66"/>
  </r>
  <r>
    <s v="ORD0323"/>
    <d v="2024-06-26T00:00:00"/>
    <s v="CUST0323"/>
    <s v="Sneha"/>
    <s v="Male"/>
    <n v="21"/>
    <s v="Hyderabad"/>
    <x v="0"/>
    <x v="1"/>
    <x v="3"/>
    <x v="1"/>
    <s v="Returned"/>
    <n v="1"/>
    <n v="17358"/>
    <n v="14754.3"/>
    <n v="5465.71"/>
  </r>
  <r>
    <s v="ORD0324"/>
    <d v="2024-02-09T00:00:00"/>
    <s v="CUST0324"/>
    <s v="Rahul"/>
    <s v="Male"/>
    <n v="54"/>
    <s v="Bangalore"/>
    <x v="1"/>
    <x v="1"/>
    <x v="2"/>
    <x v="3"/>
    <s v="Pending"/>
    <n v="5"/>
    <n v="32576"/>
    <n v="130304"/>
    <n v="27091.35"/>
  </r>
  <r>
    <s v="ORD0325"/>
    <d v="2024-11-14T00:00:00"/>
    <s v="CUST0325"/>
    <s v="Rohan"/>
    <s v="Female"/>
    <n v="36"/>
    <s v="Bangalore"/>
    <x v="1"/>
    <x v="0"/>
    <x v="2"/>
    <x v="4"/>
    <s v="Cancelled"/>
    <n v="1"/>
    <n v="14133"/>
    <n v="11306.4"/>
    <n v="2431.4499999999998"/>
  </r>
  <r>
    <s v="ORD0326"/>
    <d v="2024-04-06T00:00:00"/>
    <s v="CUST0326"/>
    <s v="Priya"/>
    <s v="Male"/>
    <n v="45"/>
    <s v="Hyderabad"/>
    <x v="0"/>
    <x v="1"/>
    <x v="0"/>
    <x v="1"/>
    <s v="Delivered"/>
    <n v="3"/>
    <n v="23246"/>
    <n v="69738"/>
    <n v="21565.25"/>
  </r>
  <r>
    <s v="ORD0327"/>
    <d v="2024-03-02T00:00:00"/>
    <s v="CUST0327"/>
    <s v="Priya"/>
    <s v="Female"/>
    <n v="44"/>
    <s v="Delhi"/>
    <x v="0"/>
    <x v="2"/>
    <x v="2"/>
    <x v="4"/>
    <s v="Pending"/>
    <n v="4"/>
    <n v="48562"/>
    <n v="155398.39999999999"/>
    <n v="45631.03"/>
  </r>
  <r>
    <s v="ORD0328"/>
    <d v="2024-05-12T00:00:00"/>
    <s v="CUST0328"/>
    <s v="Ananya"/>
    <s v="Male"/>
    <n v="49"/>
    <s v="Chennai"/>
    <x v="0"/>
    <x v="2"/>
    <x v="4"/>
    <x v="0"/>
    <s v="Delivered"/>
    <n v="5"/>
    <n v="13970"/>
    <n v="55880"/>
    <n v="22214.19"/>
  </r>
  <r>
    <s v="ORD0329"/>
    <d v="2024-04-02T00:00:00"/>
    <s v="CUST0329"/>
    <s v="Amit"/>
    <s v="Female"/>
    <n v="32"/>
    <s v="Hyderabad"/>
    <x v="0"/>
    <x v="2"/>
    <x v="4"/>
    <x v="3"/>
    <s v="Returned"/>
    <n v="4"/>
    <n v="28357"/>
    <n v="96413.8"/>
    <n v="28801.9"/>
  </r>
  <r>
    <s v="ORD0330"/>
    <d v="2024-05-14T00:00:00"/>
    <s v="CUST0330"/>
    <s v="Neha"/>
    <s v="Female"/>
    <n v="49"/>
    <s v="Pune"/>
    <x v="0"/>
    <x v="2"/>
    <x v="4"/>
    <x v="0"/>
    <s v="Returned"/>
    <n v="1"/>
    <n v="35226"/>
    <n v="28180.799999999999"/>
    <n v="5350.1"/>
  </r>
  <r>
    <s v="ORD0331"/>
    <d v="2024-09-12T00:00:00"/>
    <s v="CUST0331"/>
    <s v="Ananya"/>
    <s v="Male"/>
    <n v="52"/>
    <s v="Chennai"/>
    <x v="0"/>
    <x v="2"/>
    <x v="1"/>
    <x v="4"/>
    <s v="Pending"/>
    <n v="3"/>
    <n v="39481"/>
    <n v="94754.4"/>
    <n v="29553.98"/>
  </r>
  <r>
    <s v="ORD0332"/>
    <d v="2024-03-15T00:00:00"/>
    <s v="CUST0332"/>
    <s v="Aarav"/>
    <s v="Male"/>
    <n v="42"/>
    <s v="Delhi"/>
    <x v="2"/>
    <x v="1"/>
    <x v="2"/>
    <x v="3"/>
    <s v="Delivered"/>
    <n v="3"/>
    <n v="26590"/>
    <n v="75781.5"/>
    <n v="12895.44"/>
  </r>
  <r>
    <s v="ORD0333"/>
    <d v="2024-12-30T00:00:00"/>
    <s v="CUST0333"/>
    <s v="Amit"/>
    <s v="Female"/>
    <n v="42"/>
    <s v="Mumbai"/>
    <x v="0"/>
    <x v="2"/>
    <x v="4"/>
    <x v="3"/>
    <s v="Delivered"/>
    <n v="5"/>
    <n v="2923"/>
    <n v="13884.25"/>
    <n v="3949.47"/>
  </r>
  <r>
    <s v="ORD0334"/>
    <d v="2024-06-29T00:00:00"/>
    <s v="CUST0334"/>
    <s v="Rohan"/>
    <s v="Female"/>
    <n v="55"/>
    <s v="Bangalore"/>
    <x v="1"/>
    <x v="2"/>
    <x v="4"/>
    <x v="4"/>
    <s v="Pending"/>
    <n v="1"/>
    <n v="34767"/>
    <n v="34767"/>
    <n v="7530.99"/>
  </r>
  <r>
    <s v="ORD0335"/>
    <d v="2024-03-30T00:00:00"/>
    <s v="CUST0335"/>
    <s v="Neha"/>
    <s v="Female"/>
    <n v="56"/>
    <s v="Bangalore"/>
    <x v="0"/>
    <x v="0"/>
    <x v="3"/>
    <x v="1"/>
    <s v="Pending"/>
    <n v="3"/>
    <n v="33471"/>
    <n v="85351.05"/>
    <n v="29636.01"/>
  </r>
  <r>
    <s v="ORD0336"/>
    <d v="2024-02-12T00:00:00"/>
    <s v="CUST0336"/>
    <s v="Rahul"/>
    <s v="Female"/>
    <n v="29"/>
    <s v="Hyderabad"/>
    <x v="0"/>
    <x v="0"/>
    <x v="2"/>
    <x v="3"/>
    <s v="Cancelled"/>
    <n v="4"/>
    <n v="18983"/>
    <n v="60745.599999999999"/>
    <n v="14039.59"/>
  </r>
  <r>
    <s v="ORD0337"/>
    <d v="2024-09-05T00:00:00"/>
    <s v="CUST0337"/>
    <s v="Neha"/>
    <s v="Female"/>
    <n v="34"/>
    <s v="Chennai"/>
    <x v="0"/>
    <x v="2"/>
    <x v="1"/>
    <x v="1"/>
    <s v="Returned"/>
    <n v="2"/>
    <n v="31200"/>
    <n v="53040"/>
    <n v="10301.879999999999"/>
  </r>
  <r>
    <s v="ORD0338"/>
    <d v="2024-06-02T00:00:00"/>
    <s v="CUST0338"/>
    <s v="Neha"/>
    <s v="Male"/>
    <n v="54"/>
    <s v="Mumbai"/>
    <x v="0"/>
    <x v="1"/>
    <x v="3"/>
    <x v="3"/>
    <s v="Pending"/>
    <n v="3"/>
    <n v="37390"/>
    <n v="112170"/>
    <n v="25833.19"/>
  </r>
  <r>
    <s v="ORD0339"/>
    <d v="2024-05-18T00:00:00"/>
    <s v="CUST0339"/>
    <s v="Priya"/>
    <s v="Female"/>
    <n v="59"/>
    <s v="Delhi"/>
    <x v="0"/>
    <x v="2"/>
    <x v="0"/>
    <x v="2"/>
    <s v="Delivered"/>
    <n v="1"/>
    <n v="5212"/>
    <n v="5212"/>
    <n v="1481.6"/>
  </r>
  <r>
    <s v="ORD0340"/>
    <d v="2024-04-30T00:00:00"/>
    <s v="CUST0340"/>
    <s v="Priya"/>
    <s v="Male"/>
    <n v="47"/>
    <s v="Chennai"/>
    <x v="1"/>
    <x v="0"/>
    <x v="2"/>
    <x v="3"/>
    <s v="Cancelled"/>
    <n v="4"/>
    <n v="28930"/>
    <n v="92576"/>
    <n v="19027.599999999999"/>
  </r>
  <r>
    <s v="ORD0341"/>
    <d v="2024-11-20T00:00:00"/>
    <s v="CUST0341"/>
    <s v="Neha"/>
    <s v="Female"/>
    <n v="60"/>
    <s v="Bangalore"/>
    <x v="0"/>
    <x v="0"/>
    <x v="4"/>
    <x v="0"/>
    <s v="Returned"/>
    <n v="4"/>
    <n v="27858"/>
    <n v="105860.4"/>
    <n v="31971.759999999998"/>
  </r>
  <r>
    <s v="ORD0342"/>
    <d v="2024-07-22T00:00:00"/>
    <s v="CUST0342"/>
    <s v="Sneha"/>
    <s v="Male"/>
    <n v="53"/>
    <s v="Delhi"/>
    <x v="1"/>
    <x v="2"/>
    <x v="0"/>
    <x v="2"/>
    <s v="Pending"/>
    <n v="4"/>
    <n v="3427"/>
    <n v="11651.8"/>
    <n v="3224.14"/>
  </r>
  <r>
    <s v="ORD0343"/>
    <d v="2024-09-30T00:00:00"/>
    <s v="CUST0343"/>
    <s v="Priya"/>
    <s v="Male"/>
    <n v="33"/>
    <s v="Hyderabad"/>
    <x v="1"/>
    <x v="1"/>
    <x v="0"/>
    <x v="4"/>
    <s v="Delivered"/>
    <n v="3"/>
    <n v="18106"/>
    <n v="54318"/>
    <n v="21155.02"/>
  </r>
  <r>
    <s v="ORD0344"/>
    <d v="2024-10-14T00:00:00"/>
    <s v="CUST0344"/>
    <s v="Rahul"/>
    <s v="Male"/>
    <n v="40"/>
    <s v="Mumbai"/>
    <x v="0"/>
    <x v="0"/>
    <x v="3"/>
    <x v="3"/>
    <s v="Delivered"/>
    <n v="1"/>
    <n v="5995"/>
    <n v="5995"/>
    <n v="1571.32"/>
  </r>
  <r>
    <s v="ORD0345"/>
    <d v="2024-09-10T00:00:00"/>
    <s v="CUST0345"/>
    <s v="Sneha"/>
    <s v="Male"/>
    <n v="38"/>
    <s v="Hyderabad"/>
    <x v="2"/>
    <x v="2"/>
    <x v="4"/>
    <x v="3"/>
    <s v="Pending"/>
    <n v="4"/>
    <n v="41853"/>
    <n v="142300.20000000001"/>
    <n v="45182.03"/>
  </r>
  <r>
    <s v="ORD0346"/>
    <d v="2024-11-14T00:00:00"/>
    <s v="CUST0346"/>
    <s v="Priya"/>
    <s v="Female"/>
    <n v="56"/>
    <s v="Hyderabad"/>
    <x v="0"/>
    <x v="2"/>
    <x v="0"/>
    <x v="2"/>
    <s v="Pending"/>
    <n v="3"/>
    <n v="45944"/>
    <n v="110265.60000000001"/>
    <n v="22440.16"/>
  </r>
  <r>
    <s v="ORD0347"/>
    <d v="2024-04-06T00:00:00"/>
    <s v="CUST0347"/>
    <s v="Ananya"/>
    <s v="Female"/>
    <n v="32"/>
    <s v="Pune"/>
    <x v="2"/>
    <x v="2"/>
    <x v="1"/>
    <x v="1"/>
    <s v="Pending"/>
    <n v="4"/>
    <n v="40497"/>
    <n v="137689.79999999999"/>
    <n v="24442.39"/>
  </r>
  <r>
    <s v="ORD0348"/>
    <d v="2024-05-17T00:00:00"/>
    <s v="CUST0348"/>
    <s v="Rohan"/>
    <s v="Male"/>
    <n v="60"/>
    <s v="Hyderabad"/>
    <x v="0"/>
    <x v="2"/>
    <x v="0"/>
    <x v="0"/>
    <s v="Cancelled"/>
    <n v="3"/>
    <n v="48773"/>
    <n v="117055.2"/>
    <n v="38292.17"/>
  </r>
  <r>
    <s v="ORD0349"/>
    <d v="2024-12-12T00:00:00"/>
    <s v="CUST0349"/>
    <s v="Ananya"/>
    <s v="Male"/>
    <n v="29"/>
    <s v="Bangalore"/>
    <x v="0"/>
    <x v="1"/>
    <x v="3"/>
    <x v="4"/>
    <s v="Pending"/>
    <n v="3"/>
    <n v="40008"/>
    <n v="120024"/>
    <n v="38950.910000000003"/>
  </r>
  <r>
    <s v="ORD0350"/>
    <d v="2024-01-21T00:00:00"/>
    <s v="CUST0350"/>
    <s v="Ananya"/>
    <s v="Female"/>
    <n v="40"/>
    <s v="Mumbai"/>
    <x v="0"/>
    <x v="1"/>
    <x v="2"/>
    <x v="4"/>
    <s v="Returned"/>
    <n v="1"/>
    <n v="21099"/>
    <n v="18989.099999999999"/>
    <n v="6399.99"/>
  </r>
  <r>
    <s v="ORD0351"/>
    <d v="2024-06-22T00:00:00"/>
    <s v="CUST0351"/>
    <s v="Rohan"/>
    <s v="Male"/>
    <n v="35"/>
    <s v="Pune"/>
    <x v="1"/>
    <x v="2"/>
    <x v="2"/>
    <x v="2"/>
    <s v="Returned"/>
    <n v="5"/>
    <n v="43957"/>
    <n v="208795.75"/>
    <n v="51847.5"/>
  </r>
  <r>
    <s v="ORD0352"/>
    <d v="2024-09-03T00:00:00"/>
    <s v="CUST0352"/>
    <s v="Sneha"/>
    <s v="Male"/>
    <n v="33"/>
    <s v="Chennai"/>
    <x v="0"/>
    <x v="2"/>
    <x v="1"/>
    <x v="3"/>
    <s v="Pending"/>
    <n v="1"/>
    <n v="23174"/>
    <n v="23174"/>
    <n v="8934.09"/>
  </r>
  <r>
    <s v="ORD0353"/>
    <d v="2024-07-20T00:00:00"/>
    <s v="CUST0353"/>
    <s v="Neha"/>
    <s v="Male"/>
    <n v="35"/>
    <s v="Mumbai"/>
    <x v="2"/>
    <x v="0"/>
    <x v="2"/>
    <x v="2"/>
    <s v="Cancelled"/>
    <n v="5"/>
    <n v="40078"/>
    <n v="200390"/>
    <n v="70222.66"/>
  </r>
  <r>
    <s v="ORD0354"/>
    <d v="2024-11-21T00:00:00"/>
    <s v="CUST0354"/>
    <s v="Rohan"/>
    <s v="Male"/>
    <n v="59"/>
    <s v="Chennai"/>
    <x v="1"/>
    <x v="2"/>
    <x v="4"/>
    <x v="1"/>
    <s v="Pending"/>
    <n v="2"/>
    <n v="5278"/>
    <n v="10556"/>
    <n v="2315.62"/>
  </r>
  <r>
    <s v="ORD0355"/>
    <d v="2024-08-14T00:00:00"/>
    <s v="CUST0355"/>
    <s v="Ananya"/>
    <s v="Male"/>
    <n v="39"/>
    <s v="Mumbai"/>
    <x v="0"/>
    <x v="1"/>
    <x v="3"/>
    <x v="4"/>
    <s v="Pending"/>
    <n v="4"/>
    <n v="6508"/>
    <n v="22127.200000000001"/>
    <n v="5582.58"/>
  </r>
  <r>
    <s v="ORD0356"/>
    <d v="2024-04-19T00:00:00"/>
    <s v="CUST0356"/>
    <s v="Rahul"/>
    <s v="Male"/>
    <n v="21"/>
    <s v="Delhi"/>
    <x v="0"/>
    <x v="2"/>
    <x v="1"/>
    <x v="2"/>
    <s v="Delivered"/>
    <n v="2"/>
    <n v="22325"/>
    <n v="42417.5"/>
    <n v="8606.6"/>
  </r>
  <r>
    <s v="ORD0357"/>
    <d v="2024-07-23T00:00:00"/>
    <s v="CUST0357"/>
    <s v="Amit"/>
    <s v="Male"/>
    <n v="19"/>
    <s v="Chennai"/>
    <x v="1"/>
    <x v="0"/>
    <x v="0"/>
    <x v="1"/>
    <s v="Delivered"/>
    <n v="3"/>
    <n v="5414"/>
    <n v="12993.6"/>
    <n v="3689.65"/>
  </r>
  <r>
    <s v="ORD0358"/>
    <d v="2024-03-23T00:00:00"/>
    <s v="CUST0358"/>
    <s v="Ananya"/>
    <s v="Male"/>
    <n v="31"/>
    <s v="Mumbai"/>
    <x v="0"/>
    <x v="1"/>
    <x v="0"/>
    <x v="0"/>
    <s v="Delivered"/>
    <n v="5"/>
    <n v="38311"/>
    <n v="191555"/>
    <n v="45972.33"/>
  </r>
  <r>
    <s v="ORD0359"/>
    <d v="2024-12-08T00:00:00"/>
    <s v="CUST0359"/>
    <s v="Sneha"/>
    <s v="Female"/>
    <n v="20"/>
    <s v="Bangalore"/>
    <x v="0"/>
    <x v="0"/>
    <x v="3"/>
    <x v="0"/>
    <s v="Pending"/>
    <n v="1"/>
    <n v="13442"/>
    <n v="12769.9"/>
    <n v="3234.56"/>
  </r>
  <r>
    <s v="ORD0360"/>
    <d v="2024-05-25T00:00:00"/>
    <s v="CUST0360"/>
    <s v="Ananya"/>
    <s v="Female"/>
    <n v="50"/>
    <s v="Pune"/>
    <x v="2"/>
    <x v="0"/>
    <x v="1"/>
    <x v="2"/>
    <s v="Returned"/>
    <n v="5"/>
    <n v="17576"/>
    <n v="87880"/>
    <n v="13699.89"/>
  </r>
  <r>
    <s v="ORD0361"/>
    <d v="2024-02-14T00:00:00"/>
    <s v="CUST0361"/>
    <s v="Ananya"/>
    <s v="Male"/>
    <n v="56"/>
    <s v="Bangalore"/>
    <x v="1"/>
    <x v="2"/>
    <x v="3"/>
    <x v="0"/>
    <s v="Returned"/>
    <n v="3"/>
    <n v="48117"/>
    <n v="115480.8"/>
    <n v="34596.22"/>
  </r>
  <r>
    <s v="ORD0362"/>
    <d v="2024-02-03T00:00:00"/>
    <s v="CUST0362"/>
    <s v="Aarav"/>
    <s v="Female"/>
    <n v="53"/>
    <s v="Delhi"/>
    <x v="0"/>
    <x v="1"/>
    <x v="2"/>
    <x v="4"/>
    <s v="Returned"/>
    <n v="3"/>
    <n v="28153"/>
    <n v="71790.149999999994"/>
    <n v="25300.48"/>
  </r>
  <r>
    <s v="ORD0363"/>
    <d v="2024-02-26T00:00:00"/>
    <s v="CUST0363"/>
    <s v="Neha"/>
    <s v="Male"/>
    <n v="39"/>
    <s v="Delhi"/>
    <x v="0"/>
    <x v="0"/>
    <x v="0"/>
    <x v="1"/>
    <s v="Pending"/>
    <n v="5"/>
    <n v="47560"/>
    <n v="214020"/>
    <n v="79165.429999999993"/>
  </r>
  <r>
    <s v="ORD0364"/>
    <d v="2024-03-26T00:00:00"/>
    <s v="CUST0364"/>
    <s v="Sneha"/>
    <s v="Female"/>
    <n v="42"/>
    <s v="Chennai"/>
    <x v="0"/>
    <x v="0"/>
    <x v="0"/>
    <x v="3"/>
    <s v="Delivered"/>
    <n v="5"/>
    <n v="46941"/>
    <n v="187764"/>
    <n v="29932.17"/>
  </r>
  <r>
    <s v="ORD0365"/>
    <d v="2024-04-17T00:00:00"/>
    <s v="CUST0365"/>
    <s v="Pooja"/>
    <s v="Male"/>
    <n v="43"/>
    <s v="Chennai"/>
    <x v="0"/>
    <x v="0"/>
    <x v="1"/>
    <x v="2"/>
    <s v="Cancelled"/>
    <n v="4"/>
    <n v="31070"/>
    <n v="99424"/>
    <n v="21482.35"/>
  </r>
  <r>
    <s v="ORD0366"/>
    <d v="2024-03-20T00:00:00"/>
    <s v="CUST0366"/>
    <s v="Amit"/>
    <s v="Male"/>
    <n v="55"/>
    <s v="Pune"/>
    <x v="0"/>
    <x v="0"/>
    <x v="4"/>
    <x v="1"/>
    <s v="Delivered"/>
    <n v="3"/>
    <n v="20287"/>
    <n v="51731.85"/>
    <n v="12413.89"/>
  </r>
  <r>
    <s v="ORD0367"/>
    <d v="2024-05-20T00:00:00"/>
    <s v="CUST0367"/>
    <s v="Ananya"/>
    <s v="Female"/>
    <n v="43"/>
    <s v="Hyderabad"/>
    <x v="0"/>
    <x v="0"/>
    <x v="2"/>
    <x v="3"/>
    <s v="Cancelled"/>
    <n v="5"/>
    <n v="37464"/>
    <n v="168588"/>
    <n v="53658.13"/>
  </r>
  <r>
    <s v="ORD0368"/>
    <d v="2024-06-06T00:00:00"/>
    <s v="CUST0368"/>
    <s v="Rahul"/>
    <s v="Female"/>
    <n v="51"/>
    <s v="Bangalore"/>
    <x v="1"/>
    <x v="2"/>
    <x v="1"/>
    <x v="4"/>
    <s v="Cancelled"/>
    <n v="2"/>
    <n v="23703"/>
    <n v="40295.1"/>
    <n v="11604.04"/>
  </r>
  <r>
    <s v="ORD0369"/>
    <d v="2024-02-12T00:00:00"/>
    <s v="CUST0369"/>
    <s v="Pooja"/>
    <s v="Female"/>
    <n v="46"/>
    <s v="Bangalore"/>
    <x v="2"/>
    <x v="1"/>
    <x v="4"/>
    <x v="3"/>
    <s v="Pending"/>
    <n v="5"/>
    <n v="45895"/>
    <n v="195053.75"/>
    <n v="45517.83"/>
  </r>
  <r>
    <s v="ORD0370"/>
    <d v="2024-05-11T00:00:00"/>
    <s v="CUST0370"/>
    <s v="Amit"/>
    <s v="Male"/>
    <n v="56"/>
    <s v="Delhi"/>
    <x v="0"/>
    <x v="1"/>
    <x v="3"/>
    <x v="4"/>
    <s v="Pending"/>
    <n v="2"/>
    <n v="34001"/>
    <n v="57801.7"/>
    <n v="19358.93"/>
  </r>
  <r>
    <s v="ORD0371"/>
    <d v="2024-10-02T00:00:00"/>
    <s v="CUST0371"/>
    <s v="Sneha"/>
    <s v="Female"/>
    <n v="49"/>
    <s v="Delhi"/>
    <x v="0"/>
    <x v="0"/>
    <x v="4"/>
    <x v="4"/>
    <s v="Cancelled"/>
    <n v="1"/>
    <n v="32683"/>
    <n v="31048.85"/>
    <n v="9318.8700000000008"/>
  </r>
  <r>
    <s v="ORD0372"/>
    <d v="2024-05-26T00:00:00"/>
    <s v="CUST0372"/>
    <s v="Rohan"/>
    <s v="Male"/>
    <n v="54"/>
    <s v="Delhi"/>
    <x v="2"/>
    <x v="0"/>
    <x v="3"/>
    <x v="1"/>
    <s v="Pending"/>
    <n v="2"/>
    <n v="31528"/>
    <n v="53597.599999999999"/>
    <n v="15468.94"/>
  </r>
  <r>
    <s v="ORD0373"/>
    <d v="2024-02-04T00:00:00"/>
    <s v="CUST0373"/>
    <s v="Aarav"/>
    <s v="Female"/>
    <n v="44"/>
    <s v="Mumbai"/>
    <x v="0"/>
    <x v="0"/>
    <x v="3"/>
    <x v="2"/>
    <s v="Delivered"/>
    <n v="4"/>
    <n v="11303"/>
    <n v="42951.4"/>
    <n v="10122.709999999999"/>
  </r>
  <r>
    <s v="ORD0374"/>
    <d v="2024-03-07T00:00:00"/>
    <s v="CUST0374"/>
    <s v="Priya"/>
    <s v="Male"/>
    <n v="40"/>
    <s v="Delhi"/>
    <x v="1"/>
    <x v="0"/>
    <x v="2"/>
    <x v="2"/>
    <s v="Delivered"/>
    <n v="2"/>
    <n v="31968"/>
    <n v="63936"/>
    <n v="19309.68"/>
  </r>
  <r>
    <s v="ORD0375"/>
    <d v="2024-04-30T00:00:00"/>
    <s v="CUST0375"/>
    <s v="Vikram"/>
    <s v="Female"/>
    <n v="39"/>
    <s v="Chennai"/>
    <x v="1"/>
    <x v="2"/>
    <x v="1"/>
    <x v="2"/>
    <s v="Cancelled"/>
    <n v="2"/>
    <n v="33707"/>
    <n v="53931.199999999997"/>
    <n v="11009.23"/>
  </r>
  <r>
    <s v="ORD0376"/>
    <d v="2024-08-18T00:00:00"/>
    <s v="CUST0376"/>
    <s v="Rohan"/>
    <s v="Male"/>
    <n v="38"/>
    <s v="Delhi"/>
    <x v="1"/>
    <x v="1"/>
    <x v="0"/>
    <x v="1"/>
    <s v="Delivered"/>
    <n v="1"/>
    <n v="44671"/>
    <n v="37970.35"/>
    <n v="11239.33"/>
  </r>
  <r>
    <s v="ORD0377"/>
    <d v="2024-03-26T00:00:00"/>
    <s v="CUST0377"/>
    <s v="Sneha"/>
    <s v="Female"/>
    <n v="51"/>
    <s v="Mumbai"/>
    <x v="2"/>
    <x v="0"/>
    <x v="1"/>
    <x v="2"/>
    <s v="Returned"/>
    <n v="2"/>
    <n v="31719"/>
    <n v="57094.2"/>
    <n v="14751.1"/>
  </r>
  <r>
    <s v="ORD0378"/>
    <d v="2024-08-16T00:00:00"/>
    <s v="CUST0378"/>
    <s v="Aarav"/>
    <s v="Female"/>
    <n v="58"/>
    <s v="Delhi"/>
    <x v="1"/>
    <x v="0"/>
    <x v="2"/>
    <x v="2"/>
    <s v="Cancelled"/>
    <n v="4"/>
    <n v="36975"/>
    <n v="140505"/>
    <n v="21211.94"/>
  </r>
  <r>
    <s v="ORD0379"/>
    <d v="2024-04-05T00:00:00"/>
    <s v="CUST0379"/>
    <s v="Rahul"/>
    <s v="Female"/>
    <n v="49"/>
    <s v="Delhi"/>
    <x v="0"/>
    <x v="2"/>
    <x v="2"/>
    <x v="0"/>
    <s v="Returned"/>
    <n v="2"/>
    <n v="3236"/>
    <n v="5177.6000000000004"/>
    <n v="1697.39"/>
  </r>
  <r>
    <s v="ORD0380"/>
    <d v="2024-07-16T00:00:00"/>
    <s v="CUST0380"/>
    <s v="Amit"/>
    <s v="Male"/>
    <n v="46"/>
    <s v="Chennai"/>
    <x v="0"/>
    <x v="1"/>
    <x v="3"/>
    <x v="0"/>
    <s v="Pending"/>
    <n v="5"/>
    <n v="14767"/>
    <n v="73835"/>
    <n v="27156.49"/>
  </r>
  <r>
    <s v="ORD0381"/>
    <d v="2024-04-22T00:00:00"/>
    <s v="CUST0381"/>
    <s v="Pooja"/>
    <s v="Male"/>
    <n v="39"/>
    <s v="Pune"/>
    <x v="2"/>
    <x v="0"/>
    <x v="2"/>
    <x v="3"/>
    <s v="Delivered"/>
    <n v="1"/>
    <n v="47855"/>
    <n v="43069.5"/>
    <n v="11030.44"/>
  </r>
  <r>
    <s v="ORD0382"/>
    <d v="2024-10-16T00:00:00"/>
    <s v="CUST0382"/>
    <s v="Pooja"/>
    <s v="Male"/>
    <n v="55"/>
    <s v="Bangalore"/>
    <x v="0"/>
    <x v="0"/>
    <x v="4"/>
    <x v="0"/>
    <s v="Cancelled"/>
    <n v="4"/>
    <n v="22368"/>
    <n v="71577.600000000006"/>
    <n v="24434.05"/>
  </r>
  <r>
    <s v="ORD0383"/>
    <d v="2024-06-19T00:00:00"/>
    <s v="CUST0383"/>
    <s v="Vikram"/>
    <s v="Male"/>
    <n v="37"/>
    <s v="Delhi"/>
    <x v="2"/>
    <x v="2"/>
    <x v="4"/>
    <x v="2"/>
    <s v="Cancelled"/>
    <n v="1"/>
    <n v="31572"/>
    <n v="25257.599999999999"/>
    <n v="4642.88"/>
  </r>
  <r>
    <s v="ORD0384"/>
    <d v="2024-06-23T00:00:00"/>
    <s v="CUST0384"/>
    <s v="Priya"/>
    <s v="Female"/>
    <n v="50"/>
    <s v="Hyderabad"/>
    <x v="2"/>
    <x v="1"/>
    <x v="1"/>
    <x v="4"/>
    <s v="Pending"/>
    <n v="3"/>
    <n v="25668"/>
    <n v="65453.4"/>
    <n v="14083.75"/>
  </r>
  <r>
    <s v="ORD0385"/>
    <d v="2024-04-14T00:00:00"/>
    <s v="CUST0385"/>
    <s v="Aarav"/>
    <s v="Male"/>
    <n v="54"/>
    <s v="Pune"/>
    <x v="0"/>
    <x v="1"/>
    <x v="1"/>
    <x v="2"/>
    <s v="Cancelled"/>
    <n v="2"/>
    <n v="11355"/>
    <n v="20439"/>
    <n v="7461.49"/>
  </r>
  <r>
    <s v="ORD0386"/>
    <d v="2024-09-19T00:00:00"/>
    <s v="CUST0386"/>
    <s v="Aarav"/>
    <s v="Female"/>
    <n v="40"/>
    <s v="Pune"/>
    <x v="0"/>
    <x v="2"/>
    <x v="2"/>
    <x v="4"/>
    <s v="Returned"/>
    <n v="4"/>
    <n v="8208"/>
    <n v="27907.200000000001"/>
    <n v="7526.32"/>
  </r>
  <r>
    <s v="ORD0387"/>
    <d v="2024-08-31T00:00:00"/>
    <s v="CUST0387"/>
    <s v="Pooja"/>
    <s v="Male"/>
    <n v="24"/>
    <s v="Bangalore"/>
    <x v="0"/>
    <x v="1"/>
    <x v="1"/>
    <x v="0"/>
    <s v="Returned"/>
    <n v="5"/>
    <n v="5648"/>
    <n v="28240"/>
    <n v="4856.4399999999996"/>
  </r>
  <r>
    <s v="ORD0388"/>
    <d v="2024-01-17T00:00:00"/>
    <s v="CUST0388"/>
    <s v="Rohan"/>
    <s v="Female"/>
    <n v="34"/>
    <s v="Pune"/>
    <x v="0"/>
    <x v="2"/>
    <x v="0"/>
    <x v="3"/>
    <s v="Delivered"/>
    <n v="3"/>
    <n v="28913"/>
    <n v="73728.149999999994"/>
    <n v="12251.19"/>
  </r>
  <r>
    <s v="ORD0389"/>
    <d v="2024-06-05T00:00:00"/>
    <s v="CUST0389"/>
    <s v="Pooja"/>
    <s v="Male"/>
    <n v="49"/>
    <s v="Pune"/>
    <x v="0"/>
    <x v="0"/>
    <x v="1"/>
    <x v="3"/>
    <s v="Pending"/>
    <n v="4"/>
    <n v="33443"/>
    <n v="127083.4"/>
    <n v="44949.87"/>
  </r>
  <r>
    <s v="ORD0390"/>
    <d v="2024-02-01T00:00:00"/>
    <s v="CUST0390"/>
    <s v="Sneha"/>
    <s v="Male"/>
    <n v="49"/>
    <s v="Delhi"/>
    <x v="0"/>
    <x v="2"/>
    <x v="1"/>
    <x v="1"/>
    <s v="Pending"/>
    <n v="5"/>
    <n v="26721"/>
    <n v="113564.25"/>
    <n v="42961.18"/>
  </r>
  <r>
    <s v="ORD0391"/>
    <d v="2024-08-03T00:00:00"/>
    <s v="CUST0391"/>
    <s v="Rohan"/>
    <s v="Female"/>
    <n v="35"/>
    <s v="Bangalore"/>
    <x v="1"/>
    <x v="2"/>
    <x v="4"/>
    <x v="1"/>
    <s v="Cancelled"/>
    <n v="4"/>
    <n v="16526"/>
    <n v="66104"/>
    <n v="11492.57"/>
  </r>
  <r>
    <s v="ORD0392"/>
    <d v="2024-07-02T00:00:00"/>
    <s v="CUST0392"/>
    <s v="Priya"/>
    <s v="Male"/>
    <n v="22"/>
    <s v="Mumbai"/>
    <x v="0"/>
    <x v="1"/>
    <x v="2"/>
    <x v="0"/>
    <s v="Cancelled"/>
    <n v="1"/>
    <n v="25961"/>
    <n v="20768.8"/>
    <n v="4546.1899999999996"/>
  </r>
  <r>
    <s v="ORD0393"/>
    <d v="2024-11-22T00:00:00"/>
    <s v="CUST0393"/>
    <s v="Pooja"/>
    <s v="Male"/>
    <n v="55"/>
    <s v="Delhi"/>
    <x v="0"/>
    <x v="1"/>
    <x v="4"/>
    <x v="3"/>
    <s v="Cancelled"/>
    <n v="4"/>
    <n v="11518"/>
    <n v="43768.4"/>
    <n v="11190.39"/>
  </r>
  <r>
    <s v="ORD0394"/>
    <d v="2024-04-18T00:00:00"/>
    <s v="CUST0394"/>
    <s v="Ananya"/>
    <s v="Female"/>
    <n v="36"/>
    <s v="Bangalore"/>
    <x v="0"/>
    <x v="0"/>
    <x v="1"/>
    <x v="2"/>
    <s v="Pending"/>
    <n v="1"/>
    <n v="33096"/>
    <n v="33096"/>
    <n v="11804.81"/>
  </r>
  <r>
    <s v="ORD0395"/>
    <d v="2024-09-04T00:00:00"/>
    <s v="CUST0395"/>
    <s v="Ananya"/>
    <s v="Male"/>
    <n v="50"/>
    <s v="Delhi"/>
    <x v="0"/>
    <x v="0"/>
    <x v="3"/>
    <x v="2"/>
    <s v="Delivered"/>
    <n v="4"/>
    <n v="12988"/>
    <n v="44159.199999999997"/>
    <n v="7512.77"/>
  </r>
  <r>
    <s v="ORD0396"/>
    <d v="2024-12-07T00:00:00"/>
    <s v="CUST0396"/>
    <s v="Vikram"/>
    <s v="Male"/>
    <n v="41"/>
    <s v="Delhi"/>
    <x v="0"/>
    <x v="0"/>
    <x v="0"/>
    <x v="4"/>
    <s v="Pending"/>
    <n v="3"/>
    <n v="16451"/>
    <n v="49353"/>
    <n v="13807.29"/>
  </r>
  <r>
    <s v="ORD0397"/>
    <d v="2024-05-29T00:00:00"/>
    <s v="CUST0397"/>
    <s v="Vikram"/>
    <s v="Male"/>
    <n v="60"/>
    <s v="Mumbai"/>
    <x v="0"/>
    <x v="0"/>
    <x v="3"/>
    <x v="2"/>
    <s v="Pending"/>
    <n v="3"/>
    <n v="49182"/>
    <n v="125414.1"/>
    <n v="44051.66"/>
  </r>
  <r>
    <s v="ORD0398"/>
    <d v="2024-07-27T00:00:00"/>
    <s v="CUST0398"/>
    <s v="Sneha"/>
    <s v="Female"/>
    <n v="31"/>
    <s v="Chennai"/>
    <x v="2"/>
    <x v="0"/>
    <x v="1"/>
    <x v="2"/>
    <s v="Cancelled"/>
    <n v="3"/>
    <n v="22122"/>
    <n v="53092.800000000003"/>
    <n v="20345.75"/>
  </r>
  <r>
    <s v="ORD0399"/>
    <d v="2024-08-14T00:00:00"/>
    <s v="CUST0399"/>
    <s v="Aarav"/>
    <s v="Female"/>
    <n v="44"/>
    <s v="Chennai"/>
    <x v="0"/>
    <x v="0"/>
    <x v="2"/>
    <x v="3"/>
    <s v="Cancelled"/>
    <n v="4"/>
    <n v="25041"/>
    <n v="100164"/>
    <n v="18205.62"/>
  </r>
  <r>
    <s v="ORD0400"/>
    <d v="2024-03-30T00:00:00"/>
    <s v="CUST0400"/>
    <s v="Vikram"/>
    <s v="Male"/>
    <n v="54"/>
    <s v="Hyderabad"/>
    <x v="0"/>
    <x v="1"/>
    <x v="0"/>
    <x v="1"/>
    <s v="Returned"/>
    <n v="2"/>
    <n v="30167"/>
    <n v="60334"/>
    <n v="13304.35"/>
  </r>
  <r>
    <s v="ORD0401"/>
    <d v="2024-09-25T00:00:00"/>
    <s v="CUST0401"/>
    <s v="Amit"/>
    <s v="Female"/>
    <n v="30"/>
    <s v="Delhi"/>
    <x v="0"/>
    <x v="0"/>
    <x v="4"/>
    <x v="1"/>
    <s v="Cancelled"/>
    <n v="2"/>
    <n v="24664"/>
    <n v="44395.199999999997"/>
    <n v="10223.51"/>
  </r>
  <r>
    <s v="ORD0402"/>
    <d v="2024-12-18T00:00:00"/>
    <s v="CUST0402"/>
    <s v="Aarav"/>
    <s v="Male"/>
    <n v="53"/>
    <s v="Pune"/>
    <x v="0"/>
    <x v="1"/>
    <x v="0"/>
    <x v="1"/>
    <s v="Returned"/>
    <n v="5"/>
    <n v="3648"/>
    <n v="15504"/>
    <n v="2801.39"/>
  </r>
  <r>
    <s v="ORD0403"/>
    <d v="2024-06-11T00:00:00"/>
    <s v="CUST0403"/>
    <s v="Sneha"/>
    <s v="Male"/>
    <n v="20"/>
    <s v="Delhi"/>
    <x v="0"/>
    <x v="2"/>
    <x v="1"/>
    <x v="1"/>
    <s v="Returned"/>
    <n v="1"/>
    <n v="28833"/>
    <n v="24508.05"/>
    <n v="4663.8500000000004"/>
  </r>
  <r>
    <s v="ORD0404"/>
    <d v="2024-12-15T00:00:00"/>
    <s v="CUST0404"/>
    <s v="Sneha"/>
    <s v="Female"/>
    <n v="22"/>
    <s v="Pune"/>
    <x v="1"/>
    <x v="1"/>
    <x v="4"/>
    <x v="0"/>
    <s v="Cancelled"/>
    <n v="5"/>
    <n v="26281"/>
    <n v="105124"/>
    <n v="16929.580000000002"/>
  </r>
  <r>
    <s v="ORD0405"/>
    <d v="2024-05-05T00:00:00"/>
    <s v="CUST0405"/>
    <s v="Pooja"/>
    <s v="Female"/>
    <n v="18"/>
    <s v="Delhi"/>
    <x v="0"/>
    <x v="0"/>
    <x v="0"/>
    <x v="3"/>
    <s v="Returned"/>
    <n v="2"/>
    <n v="27395"/>
    <n v="49311"/>
    <n v="13788.18"/>
  </r>
  <r>
    <s v="ORD0406"/>
    <d v="2024-04-28T00:00:00"/>
    <s v="CUST0406"/>
    <s v="Ananya"/>
    <s v="Female"/>
    <n v="44"/>
    <s v="Mumbai"/>
    <x v="2"/>
    <x v="1"/>
    <x v="4"/>
    <x v="4"/>
    <s v="Cancelled"/>
    <n v="5"/>
    <n v="7951"/>
    <n v="37767.25"/>
    <n v="7573.42"/>
  </r>
  <r>
    <s v="ORD0407"/>
    <d v="2024-09-29T00:00:00"/>
    <s v="CUST0407"/>
    <s v="Rohan"/>
    <s v="Female"/>
    <n v="53"/>
    <s v="Bangalore"/>
    <x v="2"/>
    <x v="2"/>
    <x v="4"/>
    <x v="3"/>
    <s v="Delivered"/>
    <n v="4"/>
    <n v="9633"/>
    <n v="32752.2"/>
    <n v="9626.16"/>
  </r>
  <r>
    <s v="ORD0408"/>
    <d v="2024-10-06T00:00:00"/>
    <s v="CUST0408"/>
    <s v="Pooja"/>
    <s v="Male"/>
    <n v="40"/>
    <s v="Hyderabad"/>
    <x v="0"/>
    <x v="2"/>
    <x v="0"/>
    <x v="0"/>
    <s v="Pending"/>
    <n v="2"/>
    <n v="27756"/>
    <n v="49960.800000000003"/>
    <n v="18639.27"/>
  </r>
  <r>
    <s v="ORD0409"/>
    <d v="2024-05-31T00:00:00"/>
    <s v="CUST0409"/>
    <s v="Aarav"/>
    <s v="Female"/>
    <n v="40"/>
    <s v="Mumbai"/>
    <x v="2"/>
    <x v="1"/>
    <x v="1"/>
    <x v="2"/>
    <s v="Cancelled"/>
    <n v="5"/>
    <n v="42921"/>
    <n v="193144.5"/>
    <n v="61045.15"/>
  </r>
  <r>
    <s v="ORD0410"/>
    <d v="2024-01-13T00:00:00"/>
    <s v="CUST0410"/>
    <s v="Amit"/>
    <s v="Male"/>
    <n v="39"/>
    <s v="Pune"/>
    <x v="0"/>
    <x v="1"/>
    <x v="1"/>
    <x v="4"/>
    <s v="Returned"/>
    <n v="2"/>
    <n v="25176"/>
    <n v="50352"/>
    <n v="13484.46"/>
  </r>
  <r>
    <s v="ORD0411"/>
    <d v="2024-12-21T00:00:00"/>
    <s v="CUST0411"/>
    <s v="Priya"/>
    <s v="Male"/>
    <n v="35"/>
    <s v="Mumbai"/>
    <x v="2"/>
    <x v="0"/>
    <x v="0"/>
    <x v="0"/>
    <s v="Returned"/>
    <n v="5"/>
    <n v="49549"/>
    <n v="210583.25"/>
    <n v="45975.69"/>
  </r>
  <r>
    <s v="ORD0412"/>
    <d v="2024-03-22T00:00:00"/>
    <s v="CUST0412"/>
    <s v="Rahul"/>
    <s v="Male"/>
    <n v="29"/>
    <s v="Bangalore"/>
    <x v="2"/>
    <x v="0"/>
    <x v="0"/>
    <x v="1"/>
    <s v="Cancelled"/>
    <n v="1"/>
    <n v="37724"/>
    <n v="32065.4"/>
    <n v="8131.92"/>
  </r>
  <r>
    <s v="ORD0413"/>
    <d v="2024-11-22T00:00:00"/>
    <s v="CUST0413"/>
    <s v="Amit"/>
    <s v="Male"/>
    <n v="32"/>
    <s v="Pune"/>
    <x v="2"/>
    <x v="1"/>
    <x v="4"/>
    <x v="3"/>
    <s v="Cancelled"/>
    <n v="3"/>
    <n v="4416"/>
    <n v="11260.8"/>
    <n v="2334.5100000000002"/>
  </r>
  <r>
    <s v="ORD0414"/>
    <d v="2024-06-21T00:00:00"/>
    <s v="CUST0414"/>
    <s v="Rohan"/>
    <s v="Female"/>
    <n v="26"/>
    <s v="Chennai"/>
    <x v="0"/>
    <x v="1"/>
    <x v="0"/>
    <x v="2"/>
    <s v="Returned"/>
    <n v="2"/>
    <n v="10831"/>
    <n v="20578.900000000001"/>
    <n v="5092.3900000000003"/>
  </r>
  <r>
    <s v="ORD0415"/>
    <d v="2024-06-06T00:00:00"/>
    <s v="CUST0415"/>
    <s v="Priya"/>
    <s v="Female"/>
    <n v="20"/>
    <s v="Pune"/>
    <x v="0"/>
    <x v="2"/>
    <x v="1"/>
    <x v="1"/>
    <s v="Delivered"/>
    <n v="1"/>
    <n v="26970"/>
    <n v="21576"/>
    <n v="7450.87"/>
  </r>
  <r>
    <s v="ORD0416"/>
    <d v="2024-06-23T00:00:00"/>
    <s v="CUST0416"/>
    <s v="Vikram"/>
    <s v="Male"/>
    <n v="57"/>
    <s v="Mumbai"/>
    <x v="0"/>
    <x v="0"/>
    <x v="2"/>
    <x v="0"/>
    <s v="Pending"/>
    <n v="2"/>
    <n v="38506"/>
    <n v="61609.599999999999"/>
    <n v="22711.06"/>
  </r>
  <r>
    <s v="ORD0417"/>
    <d v="2024-03-17T00:00:00"/>
    <s v="CUST0417"/>
    <s v="Rohan"/>
    <s v="Male"/>
    <n v="29"/>
    <s v="Bangalore"/>
    <x v="1"/>
    <x v="0"/>
    <x v="2"/>
    <x v="4"/>
    <s v="Delivered"/>
    <n v="3"/>
    <n v="20207"/>
    <n v="48496.800000000003"/>
    <n v="18665.189999999999"/>
  </r>
  <r>
    <s v="ORD0418"/>
    <d v="2024-02-01T00:00:00"/>
    <s v="CUST0418"/>
    <s v="Priya"/>
    <s v="Female"/>
    <n v="57"/>
    <s v="Delhi"/>
    <x v="0"/>
    <x v="1"/>
    <x v="2"/>
    <x v="1"/>
    <s v="Pending"/>
    <n v="2"/>
    <n v="26391"/>
    <n v="44864.7"/>
    <n v="12213.74"/>
  </r>
  <r>
    <s v="ORD0419"/>
    <d v="2024-12-31T00:00:00"/>
    <s v="CUST0419"/>
    <s v="Neha"/>
    <s v="Female"/>
    <n v="22"/>
    <s v="Pune"/>
    <x v="1"/>
    <x v="2"/>
    <x v="3"/>
    <x v="1"/>
    <s v="Delivered"/>
    <n v="3"/>
    <n v="39089"/>
    <n v="99676.95"/>
    <n v="38413.01"/>
  </r>
  <r>
    <s v="ORD0420"/>
    <d v="2024-03-11T00:00:00"/>
    <s v="CUST0420"/>
    <s v="Pooja"/>
    <s v="Female"/>
    <n v="46"/>
    <s v="Mumbai"/>
    <x v="0"/>
    <x v="1"/>
    <x v="1"/>
    <x v="4"/>
    <s v="Cancelled"/>
    <n v="1"/>
    <n v="43701"/>
    <n v="34960.800000000003"/>
    <n v="6186.01"/>
  </r>
  <r>
    <s v="ORD0421"/>
    <d v="2024-11-28T00:00:00"/>
    <s v="CUST0421"/>
    <s v="Pooja"/>
    <s v="Female"/>
    <n v="38"/>
    <s v="Pune"/>
    <x v="0"/>
    <x v="1"/>
    <x v="0"/>
    <x v="1"/>
    <s v="Pending"/>
    <n v="3"/>
    <n v="44797"/>
    <n v="114232.35"/>
    <n v="17277.810000000001"/>
  </r>
  <r>
    <s v="ORD0422"/>
    <d v="2024-07-22T00:00:00"/>
    <s v="CUST0422"/>
    <s v="Rohan"/>
    <s v="Female"/>
    <n v="30"/>
    <s v="Bangalore"/>
    <x v="2"/>
    <x v="1"/>
    <x v="2"/>
    <x v="1"/>
    <s v="Returned"/>
    <n v="1"/>
    <n v="32735"/>
    <n v="32735"/>
    <n v="7811.65"/>
  </r>
  <r>
    <s v="ORD0423"/>
    <d v="2024-04-15T00:00:00"/>
    <s v="CUST0423"/>
    <s v="Rahul"/>
    <s v="Female"/>
    <n v="44"/>
    <s v="Hyderabad"/>
    <x v="2"/>
    <x v="0"/>
    <x v="4"/>
    <x v="4"/>
    <s v="Returned"/>
    <n v="4"/>
    <n v="17171"/>
    <n v="68684"/>
    <n v="14156.92"/>
  </r>
  <r>
    <s v="ORD0424"/>
    <d v="2024-05-22T00:00:00"/>
    <s v="CUST0424"/>
    <s v="Rohan"/>
    <s v="Male"/>
    <n v="21"/>
    <s v="Delhi"/>
    <x v="1"/>
    <x v="1"/>
    <x v="3"/>
    <x v="2"/>
    <s v="Pending"/>
    <n v="3"/>
    <n v="45398"/>
    <n v="122574.6"/>
    <n v="36091.35"/>
  </r>
  <r>
    <s v="ORD0425"/>
    <d v="2024-08-17T00:00:00"/>
    <s v="CUST0425"/>
    <s v="Pooja"/>
    <s v="Female"/>
    <n v="21"/>
    <s v="Mumbai"/>
    <x v="0"/>
    <x v="1"/>
    <x v="3"/>
    <x v="4"/>
    <s v="Returned"/>
    <n v="4"/>
    <n v="19601"/>
    <n v="70563.600000000006"/>
    <n v="24845.69"/>
  </r>
  <r>
    <s v="ORD0426"/>
    <d v="2024-04-23T00:00:00"/>
    <s v="CUST0426"/>
    <s v="Rahul"/>
    <s v="Female"/>
    <n v="29"/>
    <s v="Mumbai"/>
    <x v="0"/>
    <x v="0"/>
    <x v="3"/>
    <x v="2"/>
    <s v="Cancelled"/>
    <n v="4"/>
    <n v="9256"/>
    <n v="29619.200000000001"/>
    <n v="8873.1299999999992"/>
  </r>
  <r>
    <s v="ORD0427"/>
    <d v="2024-02-20T00:00:00"/>
    <s v="CUST0427"/>
    <s v="Priya"/>
    <s v="Female"/>
    <n v="28"/>
    <s v="Pune"/>
    <x v="0"/>
    <x v="0"/>
    <x v="2"/>
    <x v="4"/>
    <s v="Returned"/>
    <n v="5"/>
    <n v="28525"/>
    <n v="128362.5"/>
    <n v="33860.68"/>
  </r>
  <r>
    <s v="ORD0428"/>
    <d v="2024-09-18T00:00:00"/>
    <s v="CUST0428"/>
    <s v="Neha"/>
    <s v="Male"/>
    <n v="47"/>
    <s v="Hyderabad"/>
    <x v="0"/>
    <x v="2"/>
    <x v="4"/>
    <x v="2"/>
    <s v="Delivered"/>
    <n v="4"/>
    <n v="2393"/>
    <n v="8614.7999999999993"/>
    <n v="2926.01"/>
  </r>
  <r>
    <s v="ORD0429"/>
    <d v="2024-12-15T00:00:00"/>
    <s v="CUST0429"/>
    <s v="Vikram"/>
    <s v="Male"/>
    <n v="38"/>
    <s v="Chennai"/>
    <x v="1"/>
    <x v="2"/>
    <x v="4"/>
    <x v="2"/>
    <s v="Pending"/>
    <n v="2"/>
    <n v="22866"/>
    <n v="36585.599999999999"/>
    <n v="7671.3"/>
  </r>
  <r>
    <s v="ORD0430"/>
    <d v="2024-09-29T00:00:00"/>
    <s v="CUST0430"/>
    <s v="Rohan"/>
    <s v="Female"/>
    <n v="20"/>
    <s v="Hyderabad"/>
    <x v="2"/>
    <x v="0"/>
    <x v="0"/>
    <x v="0"/>
    <s v="Cancelled"/>
    <n v="2"/>
    <n v="3395"/>
    <n v="6790"/>
    <n v="1259.93"/>
  </r>
  <r>
    <s v="ORD0431"/>
    <d v="2024-10-28T00:00:00"/>
    <s v="CUST0431"/>
    <s v="Rahul"/>
    <s v="Female"/>
    <n v="26"/>
    <s v="Delhi"/>
    <x v="0"/>
    <x v="2"/>
    <x v="1"/>
    <x v="1"/>
    <s v="Delivered"/>
    <n v="4"/>
    <n v="9151"/>
    <n v="34773.800000000003"/>
    <n v="12506.35"/>
  </r>
  <r>
    <s v="ORD0432"/>
    <d v="2024-01-03T00:00:00"/>
    <s v="CUST0432"/>
    <s v="Priya"/>
    <s v="Female"/>
    <n v="36"/>
    <s v="Pune"/>
    <x v="0"/>
    <x v="0"/>
    <x v="2"/>
    <x v="1"/>
    <s v="Cancelled"/>
    <n v="3"/>
    <n v="3417"/>
    <n v="9225.9"/>
    <n v="3538.97"/>
  </r>
  <r>
    <s v="ORD0433"/>
    <d v="2024-03-07T00:00:00"/>
    <s v="CUST0433"/>
    <s v="Rohan"/>
    <s v="Male"/>
    <n v="37"/>
    <s v="Mumbai"/>
    <x v="0"/>
    <x v="2"/>
    <x v="2"/>
    <x v="3"/>
    <s v="Returned"/>
    <n v="5"/>
    <n v="49136"/>
    <n v="245680"/>
    <n v="38207.68"/>
  </r>
  <r>
    <s v="ORD0434"/>
    <d v="2024-01-27T00:00:00"/>
    <s v="CUST0434"/>
    <s v="Ananya"/>
    <s v="Female"/>
    <n v="50"/>
    <s v="Mumbai"/>
    <x v="1"/>
    <x v="0"/>
    <x v="1"/>
    <x v="3"/>
    <s v="Delivered"/>
    <n v="1"/>
    <n v="35977"/>
    <n v="30580.45"/>
    <n v="4848.2700000000004"/>
  </r>
  <r>
    <s v="ORD0435"/>
    <d v="2024-01-13T00:00:00"/>
    <s v="CUST0435"/>
    <s v="Amit"/>
    <s v="Female"/>
    <n v="57"/>
    <s v="Bangalore"/>
    <x v="1"/>
    <x v="2"/>
    <x v="0"/>
    <x v="3"/>
    <s v="Cancelled"/>
    <n v="1"/>
    <n v="31975"/>
    <n v="28777.5"/>
    <n v="8118.66"/>
  </r>
  <r>
    <s v="ORD0436"/>
    <d v="2024-03-24T00:00:00"/>
    <s v="CUST0436"/>
    <s v="Priya"/>
    <s v="Female"/>
    <n v="33"/>
    <s v="Mumbai"/>
    <x v="0"/>
    <x v="1"/>
    <x v="2"/>
    <x v="2"/>
    <s v="Returned"/>
    <n v="2"/>
    <n v="5070"/>
    <n v="8112"/>
    <n v="2954.74"/>
  </r>
  <r>
    <s v="ORD0437"/>
    <d v="2024-03-17T00:00:00"/>
    <s v="CUST0437"/>
    <s v="Rahul"/>
    <s v="Male"/>
    <n v="23"/>
    <s v="Pune"/>
    <x v="1"/>
    <x v="0"/>
    <x v="2"/>
    <x v="1"/>
    <s v="Delivered"/>
    <n v="4"/>
    <n v="12344"/>
    <n v="39500.800000000003"/>
    <n v="7975.35"/>
  </r>
  <r>
    <s v="ORD0438"/>
    <d v="2024-07-22T00:00:00"/>
    <s v="CUST0438"/>
    <s v="Neha"/>
    <s v="Female"/>
    <n v="57"/>
    <s v="Mumbai"/>
    <x v="2"/>
    <x v="0"/>
    <x v="3"/>
    <x v="4"/>
    <s v="Returned"/>
    <n v="5"/>
    <n v="8900"/>
    <n v="37825"/>
    <n v="8117.83"/>
  </r>
  <r>
    <s v="ORD0439"/>
    <d v="2024-03-26T00:00:00"/>
    <s v="CUST0439"/>
    <s v="Pooja"/>
    <s v="Male"/>
    <n v="49"/>
    <s v="Hyderabad"/>
    <x v="0"/>
    <x v="1"/>
    <x v="2"/>
    <x v="0"/>
    <s v="Delivered"/>
    <n v="3"/>
    <n v="48394"/>
    <n v="137922.9"/>
    <n v="53567.73"/>
  </r>
  <r>
    <s v="ORD0440"/>
    <d v="2024-10-05T00:00:00"/>
    <s v="CUST0440"/>
    <s v="Aarav"/>
    <s v="Male"/>
    <n v="60"/>
    <s v="Bangalore"/>
    <x v="0"/>
    <x v="0"/>
    <x v="0"/>
    <x v="0"/>
    <s v="Pending"/>
    <n v="3"/>
    <n v="40634"/>
    <n v="97521.600000000006"/>
    <n v="37245.06"/>
  </r>
  <r>
    <s v="ORD0441"/>
    <d v="2024-04-27T00:00:00"/>
    <s v="CUST0441"/>
    <s v="Priya"/>
    <s v="Female"/>
    <n v="47"/>
    <s v="Chennai"/>
    <x v="0"/>
    <x v="2"/>
    <x v="3"/>
    <x v="0"/>
    <s v="Returned"/>
    <n v="3"/>
    <n v="14720"/>
    <n v="44160"/>
    <n v="7914.57"/>
  </r>
  <r>
    <s v="ORD0442"/>
    <d v="2024-01-25T00:00:00"/>
    <s v="CUST0442"/>
    <s v="Rahul"/>
    <s v="Female"/>
    <n v="47"/>
    <s v="Mumbai"/>
    <x v="2"/>
    <x v="0"/>
    <x v="2"/>
    <x v="4"/>
    <s v="Pending"/>
    <n v="2"/>
    <n v="19947"/>
    <n v="37899.300000000003"/>
    <n v="10116.379999999999"/>
  </r>
  <r>
    <s v="ORD0443"/>
    <d v="2024-11-25T00:00:00"/>
    <s v="CUST0443"/>
    <s v="Ananya"/>
    <s v="Female"/>
    <n v="33"/>
    <s v="Chennai"/>
    <x v="0"/>
    <x v="2"/>
    <x v="0"/>
    <x v="0"/>
    <s v="Returned"/>
    <n v="1"/>
    <n v="2089"/>
    <n v="2089"/>
    <n v="517.16999999999996"/>
  </r>
  <r>
    <s v="ORD0444"/>
    <d v="2024-01-28T00:00:00"/>
    <s v="CUST0444"/>
    <s v="Amit"/>
    <s v="Male"/>
    <n v="45"/>
    <s v="Delhi"/>
    <x v="2"/>
    <x v="1"/>
    <x v="2"/>
    <x v="4"/>
    <s v="Delivered"/>
    <n v="4"/>
    <n v="3478"/>
    <n v="12520.8"/>
    <n v="4401.51"/>
  </r>
  <r>
    <s v="ORD0445"/>
    <d v="2024-06-22T00:00:00"/>
    <s v="CUST0445"/>
    <s v="Aarav"/>
    <s v="Female"/>
    <n v="60"/>
    <s v="Bangalore"/>
    <x v="0"/>
    <x v="2"/>
    <x v="3"/>
    <x v="4"/>
    <s v="Returned"/>
    <n v="5"/>
    <n v="48930"/>
    <n v="232417.5"/>
    <n v="42837.39"/>
  </r>
  <r>
    <s v="ORD0446"/>
    <d v="2024-05-22T00:00:00"/>
    <s v="CUST0446"/>
    <s v="Amit"/>
    <s v="Male"/>
    <n v="55"/>
    <s v="Chennai"/>
    <x v="0"/>
    <x v="1"/>
    <x v="4"/>
    <x v="0"/>
    <s v="Pending"/>
    <n v="3"/>
    <n v="41756"/>
    <n v="100214.39999999999"/>
    <n v="25731.3"/>
  </r>
  <r>
    <s v="ORD0447"/>
    <d v="2024-07-03T00:00:00"/>
    <s v="CUST0447"/>
    <s v="Rohan"/>
    <s v="Female"/>
    <n v="54"/>
    <s v="Bangalore"/>
    <x v="0"/>
    <x v="0"/>
    <x v="0"/>
    <x v="2"/>
    <s v="Cancelled"/>
    <n v="4"/>
    <n v="17789"/>
    <n v="60482.6"/>
    <n v="11864.48"/>
  </r>
  <r>
    <s v="ORD0448"/>
    <d v="2024-06-03T00:00:00"/>
    <s v="CUST0448"/>
    <s v="Rahul"/>
    <s v="Female"/>
    <n v="19"/>
    <s v="Hyderabad"/>
    <x v="0"/>
    <x v="2"/>
    <x v="2"/>
    <x v="4"/>
    <s v="Pending"/>
    <n v="4"/>
    <n v="31723"/>
    <n v="120547.4"/>
    <n v="43213.59"/>
  </r>
  <r>
    <s v="ORD0449"/>
    <d v="2024-03-19T00:00:00"/>
    <s v="CUST0449"/>
    <s v="Priya"/>
    <s v="Female"/>
    <n v="27"/>
    <s v="Delhi"/>
    <x v="2"/>
    <x v="1"/>
    <x v="2"/>
    <x v="4"/>
    <s v="Delivered"/>
    <n v="1"/>
    <n v="27903"/>
    <n v="27903"/>
    <n v="5157.2700000000004"/>
  </r>
  <r>
    <s v="ORD0450"/>
    <d v="2024-07-09T00:00:00"/>
    <s v="CUST0450"/>
    <s v="Rahul"/>
    <s v="Female"/>
    <n v="55"/>
    <s v="Chennai"/>
    <x v="0"/>
    <x v="1"/>
    <x v="2"/>
    <x v="3"/>
    <s v="Delivered"/>
    <n v="2"/>
    <n v="45073"/>
    <n v="85638.7"/>
    <n v="13291.93"/>
  </r>
  <r>
    <s v="ORD0451"/>
    <d v="2024-01-31T00:00:00"/>
    <s v="CUST0451"/>
    <s v="Priya"/>
    <s v="Female"/>
    <n v="34"/>
    <s v="Chennai"/>
    <x v="1"/>
    <x v="2"/>
    <x v="1"/>
    <x v="3"/>
    <s v="Delivered"/>
    <n v="3"/>
    <n v="22535"/>
    <n v="67605"/>
    <n v="11534.24"/>
  </r>
  <r>
    <s v="ORD0452"/>
    <d v="2024-05-03T00:00:00"/>
    <s v="CUST0452"/>
    <s v="Rohan"/>
    <s v="Female"/>
    <n v="60"/>
    <s v="Delhi"/>
    <x v="0"/>
    <x v="0"/>
    <x v="1"/>
    <x v="0"/>
    <s v="Cancelled"/>
    <n v="2"/>
    <n v="35783"/>
    <n v="71566"/>
    <n v="19539.68"/>
  </r>
  <r>
    <s v="ORD0453"/>
    <d v="2024-06-07T00:00:00"/>
    <s v="CUST0453"/>
    <s v="Sneha"/>
    <s v="Female"/>
    <n v="42"/>
    <s v="Hyderabad"/>
    <x v="1"/>
    <x v="0"/>
    <x v="2"/>
    <x v="0"/>
    <s v="Pending"/>
    <n v="1"/>
    <n v="21701"/>
    <n v="18445.849999999999"/>
    <n v="5571.79"/>
  </r>
  <r>
    <s v="ORD0454"/>
    <d v="2024-04-17T00:00:00"/>
    <s v="CUST0454"/>
    <s v="Ananya"/>
    <s v="Female"/>
    <n v="40"/>
    <s v="Hyderabad"/>
    <x v="0"/>
    <x v="1"/>
    <x v="2"/>
    <x v="0"/>
    <s v="Cancelled"/>
    <n v="4"/>
    <n v="32848"/>
    <n v="124822.39999999999"/>
    <n v="34622.379999999997"/>
  </r>
  <r>
    <s v="ORD0455"/>
    <d v="2024-04-12T00:00:00"/>
    <s v="CUST0455"/>
    <s v="Priya"/>
    <s v="Female"/>
    <n v="31"/>
    <s v="Bangalore"/>
    <x v="0"/>
    <x v="0"/>
    <x v="2"/>
    <x v="1"/>
    <s v="Delivered"/>
    <n v="1"/>
    <n v="30441"/>
    <n v="25874.85"/>
    <n v="5479.01"/>
  </r>
  <r>
    <s v="ORD0456"/>
    <d v="2024-10-14T00:00:00"/>
    <s v="CUST0456"/>
    <s v="Amit"/>
    <s v="Male"/>
    <n v="44"/>
    <s v="Mumbai"/>
    <x v="0"/>
    <x v="2"/>
    <x v="0"/>
    <x v="1"/>
    <s v="Pending"/>
    <n v="1"/>
    <n v="28414"/>
    <n v="28414"/>
    <n v="9772.8799999999992"/>
  </r>
  <r>
    <s v="ORD0457"/>
    <d v="2024-07-26T00:00:00"/>
    <s v="CUST0457"/>
    <s v="Ananya"/>
    <s v="Female"/>
    <n v="52"/>
    <s v="Mumbai"/>
    <x v="0"/>
    <x v="1"/>
    <x v="4"/>
    <x v="1"/>
    <s v="Returned"/>
    <n v="4"/>
    <n v="2319"/>
    <n v="8812.2000000000007"/>
    <n v="2549.46"/>
  </r>
  <r>
    <s v="ORD0458"/>
    <d v="2024-04-29T00:00:00"/>
    <s v="CUST0458"/>
    <s v="Pooja"/>
    <s v="Female"/>
    <n v="19"/>
    <s v="Chennai"/>
    <x v="1"/>
    <x v="0"/>
    <x v="0"/>
    <x v="2"/>
    <s v="Pending"/>
    <n v="5"/>
    <n v="7949"/>
    <n v="37757.75"/>
    <n v="10797.65"/>
  </r>
  <r>
    <s v="ORD0459"/>
    <d v="2024-06-22T00:00:00"/>
    <s v="CUST0459"/>
    <s v="Priya"/>
    <s v="Female"/>
    <n v="54"/>
    <s v="Bangalore"/>
    <x v="1"/>
    <x v="2"/>
    <x v="3"/>
    <x v="2"/>
    <s v="Returned"/>
    <n v="1"/>
    <n v="6635"/>
    <n v="5639.75"/>
    <n v="1815.15"/>
  </r>
  <r>
    <s v="ORD0460"/>
    <d v="2024-05-12T00:00:00"/>
    <s v="CUST0460"/>
    <s v="Amit"/>
    <s v="Female"/>
    <n v="56"/>
    <s v="Hyderabad"/>
    <x v="0"/>
    <x v="0"/>
    <x v="0"/>
    <x v="2"/>
    <s v="Cancelled"/>
    <n v="2"/>
    <n v="46384"/>
    <n v="92768"/>
    <n v="18961.05"/>
  </r>
  <r>
    <s v="ORD0461"/>
    <d v="2024-10-15T00:00:00"/>
    <s v="CUST0461"/>
    <s v="Vikram"/>
    <s v="Male"/>
    <n v="20"/>
    <s v="Mumbai"/>
    <x v="0"/>
    <x v="2"/>
    <x v="0"/>
    <x v="0"/>
    <s v="Cancelled"/>
    <n v="5"/>
    <n v="3305"/>
    <n v="13220"/>
    <n v="2134.3000000000002"/>
  </r>
  <r>
    <s v="ORD0462"/>
    <d v="2024-07-20T00:00:00"/>
    <s v="CUST0462"/>
    <s v="Pooja"/>
    <s v="Male"/>
    <n v="23"/>
    <s v="Mumbai"/>
    <x v="0"/>
    <x v="1"/>
    <x v="1"/>
    <x v="3"/>
    <s v="Delivered"/>
    <n v="4"/>
    <n v="17005"/>
    <n v="54416"/>
    <n v="8930.9699999999993"/>
  </r>
  <r>
    <s v="ORD0463"/>
    <d v="2024-11-26T00:00:00"/>
    <s v="CUST0463"/>
    <s v="Amit"/>
    <s v="Female"/>
    <n v="46"/>
    <s v="Pune"/>
    <x v="0"/>
    <x v="2"/>
    <x v="2"/>
    <x v="2"/>
    <s v="Pending"/>
    <n v="4"/>
    <n v="17515"/>
    <n v="63054"/>
    <n v="17569.98"/>
  </r>
  <r>
    <s v="ORD0464"/>
    <d v="2024-08-27T00:00:00"/>
    <s v="CUST0464"/>
    <s v="Vikram"/>
    <s v="Female"/>
    <n v="25"/>
    <s v="Pune"/>
    <x v="2"/>
    <x v="1"/>
    <x v="3"/>
    <x v="2"/>
    <s v="Cancelled"/>
    <n v="1"/>
    <n v="46980"/>
    <n v="39933"/>
    <n v="15208.45"/>
  </r>
  <r>
    <s v="ORD0465"/>
    <d v="2024-06-07T00:00:00"/>
    <s v="CUST0465"/>
    <s v="Aarav"/>
    <s v="Female"/>
    <n v="54"/>
    <s v="Pune"/>
    <x v="2"/>
    <x v="1"/>
    <x v="4"/>
    <x v="1"/>
    <s v="Pending"/>
    <n v="4"/>
    <n v="3929"/>
    <n v="12572.8"/>
    <n v="4254.18"/>
  </r>
  <r>
    <s v="ORD0466"/>
    <d v="2024-03-25T00:00:00"/>
    <s v="CUST0466"/>
    <s v="Pooja"/>
    <s v="Female"/>
    <n v="50"/>
    <s v="Delhi"/>
    <x v="2"/>
    <x v="1"/>
    <x v="0"/>
    <x v="4"/>
    <s v="Delivered"/>
    <n v="4"/>
    <n v="16725"/>
    <n v="60210"/>
    <n v="14599.92"/>
  </r>
  <r>
    <s v="ORD0467"/>
    <d v="2024-10-26T00:00:00"/>
    <s v="CUST0467"/>
    <s v="Priya"/>
    <s v="Male"/>
    <n v="20"/>
    <s v="Chennai"/>
    <x v="0"/>
    <x v="0"/>
    <x v="4"/>
    <x v="3"/>
    <s v="Cancelled"/>
    <n v="5"/>
    <n v="7251"/>
    <n v="32629.5"/>
    <n v="12226.73"/>
  </r>
  <r>
    <s v="ORD0468"/>
    <d v="2024-07-02T00:00:00"/>
    <s v="CUST0468"/>
    <s v="Amit"/>
    <s v="Male"/>
    <n v="49"/>
    <s v="Mumbai"/>
    <x v="0"/>
    <x v="1"/>
    <x v="2"/>
    <x v="4"/>
    <s v="Pending"/>
    <n v="5"/>
    <n v="42943"/>
    <n v="193243.5"/>
    <n v="56811.02"/>
  </r>
  <r>
    <s v="ORD0469"/>
    <d v="2024-11-04T00:00:00"/>
    <s v="CUST0469"/>
    <s v="Amit"/>
    <s v="Female"/>
    <n v="46"/>
    <s v="Bangalore"/>
    <x v="2"/>
    <x v="2"/>
    <x v="2"/>
    <x v="1"/>
    <s v="Returned"/>
    <n v="5"/>
    <n v="3185"/>
    <n v="12740"/>
    <n v="1970.25"/>
  </r>
  <r>
    <s v="ORD0470"/>
    <d v="2024-10-10T00:00:00"/>
    <s v="CUST0470"/>
    <s v="Amit"/>
    <s v="Female"/>
    <n v="49"/>
    <s v="Chennai"/>
    <x v="0"/>
    <x v="1"/>
    <x v="4"/>
    <x v="3"/>
    <s v="Returned"/>
    <n v="1"/>
    <n v="40478"/>
    <n v="36430.199999999997"/>
    <n v="6607.86"/>
  </r>
  <r>
    <s v="ORD0471"/>
    <d v="2024-11-16T00:00:00"/>
    <s v="CUST0471"/>
    <s v="Ananya"/>
    <s v="Female"/>
    <n v="52"/>
    <s v="Mumbai"/>
    <x v="0"/>
    <x v="2"/>
    <x v="3"/>
    <x v="2"/>
    <s v="Pending"/>
    <n v="3"/>
    <n v="31876"/>
    <n v="81283.8"/>
    <n v="27192.799999999999"/>
  </r>
  <r>
    <s v="ORD0472"/>
    <d v="2024-11-09T00:00:00"/>
    <s v="CUST0472"/>
    <s v="Aarav"/>
    <s v="Male"/>
    <n v="50"/>
    <s v="Delhi"/>
    <x v="1"/>
    <x v="0"/>
    <x v="1"/>
    <x v="0"/>
    <s v="Cancelled"/>
    <n v="3"/>
    <n v="27079"/>
    <n v="64989.599999999999"/>
    <n v="24059.48"/>
  </r>
  <r>
    <s v="ORD0473"/>
    <d v="2024-01-19T00:00:00"/>
    <s v="CUST0473"/>
    <s v="Aarav"/>
    <s v="Female"/>
    <n v="24"/>
    <s v="Mumbai"/>
    <x v="0"/>
    <x v="1"/>
    <x v="2"/>
    <x v="3"/>
    <s v="Pending"/>
    <n v="3"/>
    <n v="21466"/>
    <n v="57958.2"/>
    <n v="22618.240000000002"/>
  </r>
  <r>
    <s v="ORD0474"/>
    <d v="2024-07-23T00:00:00"/>
    <s v="CUST0474"/>
    <s v="Amit"/>
    <s v="Female"/>
    <n v="18"/>
    <s v="Mumbai"/>
    <x v="0"/>
    <x v="1"/>
    <x v="1"/>
    <x v="4"/>
    <s v="Delivered"/>
    <n v="3"/>
    <n v="45052"/>
    <n v="135156"/>
    <n v="25179.46"/>
  </r>
  <r>
    <s v="ORD0475"/>
    <d v="2024-08-13T00:00:00"/>
    <s v="CUST0475"/>
    <s v="Pooja"/>
    <s v="Male"/>
    <n v="37"/>
    <s v="Bangalore"/>
    <x v="0"/>
    <x v="2"/>
    <x v="0"/>
    <x v="4"/>
    <s v="Pending"/>
    <n v="4"/>
    <n v="3787"/>
    <n v="15148"/>
    <n v="3239.13"/>
  </r>
  <r>
    <s v="ORD0476"/>
    <d v="2024-03-14T00:00:00"/>
    <s v="CUST0476"/>
    <s v="Rahul"/>
    <s v="Female"/>
    <n v="28"/>
    <s v="Hyderabad"/>
    <x v="0"/>
    <x v="1"/>
    <x v="2"/>
    <x v="0"/>
    <s v="Returned"/>
    <n v="1"/>
    <n v="22648"/>
    <n v="19250.8"/>
    <n v="2894.53"/>
  </r>
  <r>
    <s v="ORD0477"/>
    <d v="2024-02-09T00:00:00"/>
    <s v="CUST0477"/>
    <s v="Aarav"/>
    <s v="Male"/>
    <n v="25"/>
    <s v="Chennai"/>
    <x v="0"/>
    <x v="0"/>
    <x v="0"/>
    <x v="1"/>
    <s v="Delivered"/>
    <n v="2"/>
    <n v="48520"/>
    <n v="97040"/>
    <n v="36742.21"/>
  </r>
  <r>
    <s v="ORD0478"/>
    <d v="2024-10-11T00:00:00"/>
    <s v="CUST0478"/>
    <s v="Rohan"/>
    <s v="Female"/>
    <n v="28"/>
    <s v="Mumbai"/>
    <x v="0"/>
    <x v="2"/>
    <x v="4"/>
    <x v="1"/>
    <s v="Returned"/>
    <n v="5"/>
    <n v="44402"/>
    <n v="188708.5"/>
    <n v="54875.43"/>
  </r>
  <r>
    <s v="ORD0479"/>
    <d v="2024-05-25T00:00:00"/>
    <s v="CUST0479"/>
    <s v="Priya"/>
    <s v="Male"/>
    <n v="53"/>
    <s v="Hyderabad"/>
    <x v="0"/>
    <x v="2"/>
    <x v="1"/>
    <x v="1"/>
    <s v="Delivered"/>
    <n v="4"/>
    <n v="41276"/>
    <n v="140338.4"/>
    <n v="49683.67"/>
  </r>
  <r>
    <s v="ORD0480"/>
    <d v="2024-09-05T00:00:00"/>
    <s v="CUST0480"/>
    <s v="Rahul"/>
    <s v="Male"/>
    <n v="22"/>
    <s v="Delhi"/>
    <x v="0"/>
    <x v="0"/>
    <x v="1"/>
    <x v="4"/>
    <s v="Pending"/>
    <n v="3"/>
    <n v="19356"/>
    <n v="46454.400000000001"/>
    <n v="10356.450000000001"/>
  </r>
  <r>
    <s v="ORD0481"/>
    <d v="2024-09-06T00:00:00"/>
    <s v="CUST0481"/>
    <s v="Rahul"/>
    <s v="Male"/>
    <n v="48"/>
    <s v="Chennai"/>
    <x v="1"/>
    <x v="0"/>
    <x v="1"/>
    <x v="0"/>
    <s v="Delivered"/>
    <n v="5"/>
    <n v="40748"/>
    <n v="193553"/>
    <n v="47768.9"/>
  </r>
  <r>
    <s v="ORD0482"/>
    <d v="2024-06-29T00:00:00"/>
    <s v="CUST0482"/>
    <s v="Sneha"/>
    <s v="Female"/>
    <n v="50"/>
    <s v="Delhi"/>
    <x v="1"/>
    <x v="0"/>
    <x v="2"/>
    <x v="3"/>
    <s v="Cancelled"/>
    <n v="4"/>
    <n v="4970"/>
    <n v="19880"/>
    <n v="6849.51"/>
  </r>
  <r>
    <s v="ORD0483"/>
    <d v="2024-07-02T00:00:00"/>
    <s v="CUST0483"/>
    <s v="Pooja"/>
    <s v="Male"/>
    <n v="27"/>
    <s v="Hyderabad"/>
    <x v="2"/>
    <x v="2"/>
    <x v="2"/>
    <x v="4"/>
    <s v="Delivered"/>
    <n v="2"/>
    <n v="20186"/>
    <n v="38353.4"/>
    <n v="5919.75"/>
  </r>
  <r>
    <s v="ORD0484"/>
    <d v="2024-12-01T00:00:00"/>
    <s v="CUST0484"/>
    <s v="Sneha"/>
    <s v="Male"/>
    <n v="54"/>
    <s v="Delhi"/>
    <x v="0"/>
    <x v="2"/>
    <x v="4"/>
    <x v="0"/>
    <s v="Returned"/>
    <n v="1"/>
    <n v="27310"/>
    <n v="21848"/>
    <n v="3984.19"/>
  </r>
  <r>
    <s v="ORD0485"/>
    <d v="2024-07-14T00:00:00"/>
    <s v="CUST0485"/>
    <s v="Priya"/>
    <s v="Female"/>
    <n v="54"/>
    <s v="Mumbai"/>
    <x v="0"/>
    <x v="2"/>
    <x v="1"/>
    <x v="0"/>
    <s v="Delivered"/>
    <n v="3"/>
    <n v="5431"/>
    <n v="14663.7"/>
    <n v="5020.92"/>
  </r>
  <r>
    <s v="ORD0486"/>
    <d v="2024-07-17T00:00:00"/>
    <s v="CUST0486"/>
    <s v="Pooja"/>
    <s v="Male"/>
    <n v="26"/>
    <s v="Mumbai"/>
    <x v="0"/>
    <x v="0"/>
    <x v="1"/>
    <x v="0"/>
    <s v="Delivered"/>
    <n v="3"/>
    <n v="2364"/>
    <n v="6737.4"/>
    <n v="2621.36"/>
  </r>
  <r>
    <s v="ORD0487"/>
    <d v="2024-07-05T00:00:00"/>
    <s v="CUST0487"/>
    <s v="Neha"/>
    <s v="Female"/>
    <n v="28"/>
    <s v="Chennai"/>
    <x v="0"/>
    <x v="1"/>
    <x v="0"/>
    <x v="3"/>
    <s v="Cancelled"/>
    <n v="4"/>
    <n v="35271"/>
    <n v="112867.2"/>
    <n v="30341.69"/>
  </r>
  <r>
    <s v="ORD0488"/>
    <d v="2024-11-05T00:00:00"/>
    <s v="CUST0488"/>
    <s v="Vikram"/>
    <s v="Male"/>
    <n v="46"/>
    <s v="Chennai"/>
    <x v="2"/>
    <x v="1"/>
    <x v="3"/>
    <x v="1"/>
    <s v="Pending"/>
    <n v="4"/>
    <n v="27815"/>
    <n v="89008"/>
    <n v="27734.85"/>
  </r>
  <r>
    <s v="ORD0489"/>
    <d v="2024-07-16T00:00:00"/>
    <s v="CUST0489"/>
    <s v="Vikram"/>
    <s v="Female"/>
    <n v="47"/>
    <s v="Delhi"/>
    <x v="0"/>
    <x v="2"/>
    <x v="4"/>
    <x v="1"/>
    <s v="Cancelled"/>
    <n v="5"/>
    <n v="1503"/>
    <n v="7139.25"/>
    <n v="2495.8200000000002"/>
  </r>
  <r>
    <s v="ORD0490"/>
    <d v="2024-01-14T00:00:00"/>
    <s v="CUST0490"/>
    <s v="Priya"/>
    <s v="Male"/>
    <n v="24"/>
    <s v="Mumbai"/>
    <x v="0"/>
    <x v="2"/>
    <x v="4"/>
    <x v="1"/>
    <s v="Cancelled"/>
    <n v="3"/>
    <n v="39281"/>
    <n v="100166.55"/>
    <n v="24066.49"/>
  </r>
  <r>
    <s v="ORD0491"/>
    <d v="2024-06-03T00:00:00"/>
    <s v="CUST0491"/>
    <s v="Vikram"/>
    <s v="Female"/>
    <n v="55"/>
    <s v="Bangalore"/>
    <x v="0"/>
    <x v="2"/>
    <x v="2"/>
    <x v="3"/>
    <s v="Delivered"/>
    <n v="5"/>
    <n v="2288"/>
    <n v="11440"/>
    <n v="2936.47"/>
  </r>
  <r>
    <s v="ORD0492"/>
    <d v="2024-06-01T00:00:00"/>
    <s v="CUST0492"/>
    <s v="Neha"/>
    <s v="Male"/>
    <n v="59"/>
    <s v="Mumbai"/>
    <x v="2"/>
    <x v="0"/>
    <x v="1"/>
    <x v="0"/>
    <s v="Pending"/>
    <n v="3"/>
    <n v="45675"/>
    <n v="116471.25"/>
    <n v="43807.21"/>
  </r>
  <r>
    <s v="ORD0493"/>
    <d v="2024-04-23T00:00:00"/>
    <s v="CUST0493"/>
    <s v="Ananya"/>
    <s v="Male"/>
    <n v="58"/>
    <s v="Chennai"/>
    <x v="1"/>
    <x v="2"/>
    <x v="1"/>
    <x v="1"/>
    <s v="Returned"/>
    <n v="5"/>
    <n v="49334"/>
    <n v="209669.5"/>
    <n v="35635.35"/>
  </r>
  <r>
    <s v="ORD0494"/>
    <d v="2024-02-28T00:00:00"/>
    <s v="CUST0494"/>
    <s v="Sneha"/>
    <s v="Female"/>
    <n v="51"/>
    <s v="Mumbai"/>
    <x v="0"/>
    <x v="0"/>
    <x v="2"/>
    <x v="3"/>
    <s v="Pending"/>
    <n v="2"/>
    <n v="36942"/>
    <n v="73884"/>
    <n v="14947.04"/>
  </r>
  <r>
    <s v="ORD0495"/>
    <d v="2024-08-11T00:00:00"/>
    <s v="CUST0495"/>
    <s v="Amit"/>
    <s v="Male"/>
    <n v="32"/>
    <s v="Mumbai"/>
    <x v="0"/>
    <x v="1"/>
    <x v="4"/>
    <x v="4"/>
    <s v="Cancelled"/>
    <n v="3"/>
    <n v="43166"/>
    <n v="116548.2"/>
    <n v="38958.550000000003"/>
  </r>
  <r>
    <s v="ORD0496"/>
    <d v="2024-07-24T00:00:00"/>
    <s v="CUST0496"/>
    <s v="Aarav"/>
    <s v="Male"/>
    <n v="25"/>
    <s v="Mumbai"/>
    <x v="0"/>
    <x v="2"/>
    <x v="0"/>
    <x v="3"/>
    <s v="Returned"/>
    <n v="4"/>
    <n v="45818"/>
    <n v="155781.20000000001"/>
    <n v="57193.15"/>
  </r>
  <r>
    <s v="ORD0497"/>
    <d v="2024-10-20T00:00:00"/>
    <s v="CUST0497"/>
    <s v="Amit"/>
    <s v="Male"/>
    <n v="47"/>
    <s v="Mumbai"/>
    <x v="0"/>
    <x v="2"/>
    <x v="1"/>
    <x v="1"/>
    <s v="Pending"/>
    <n v="1"/>
    <n v="24238"/>
    <n v="23026.1"/>
    <n v="4219.16"/>
  </r>
  <r>
    <s v="ORD0498"/>
    <d v="2024-01-23T00:00:00"/>
    <s v="CUST0498"/>
    <s v="Amit"/>
    <s v="Male"/>
    <n v="19"/>
    <s v="Delhi"/>
    <x v="2"/>
    <x v="1"/>
    <x v="1"/>
    <x v="0"/>
    <s v="Pending"/>
    <n v="4"/>
    <n v="21631"/>
    <n v="86524"/>
    <n v="28782.91"/>
  </r>
  <r>
    <s v="ORD0499"/>
    <d v="2024-10-24T00:00:00"/>
    <s v="CUST0499"/>
    <s v="Priya"/>
    <s v="Female"/>
    <n v="53"/>
    <s v="Bangalore"/>
    <x v="0"/>
    <x v="1"/>
    <x v="2"/>
    <x v="0"/>
    <s v="Cancelled"/>
    <n v="2"/>
    <n v="2654"/>
    <n v="4777.2"/>
    <n v="1024.1500000000001"/>
  </r>
  <r>
    <s v="ORD0500"/>
    <d v="2024-05-21T00:00:00"/>
    <s v="CUST0500"/>
    <s v="Pooja"/>
    <s v="Male"/>
    <n v="43"/>
    <s v="Pune"/>
    <x v="0"/>
    <x v="1"/>
    <x v="1"/>
    <x v="3"/>
    <s v="Pending"/>
    <n v="1"/>
    <n v="3423"/>
    <n v="2909.55"/>
    <n v="842.79"/>
  </r>
  <r>
    <s v="ORD0501"/>
    <d v="2024-11-08T00:00:00"/>
    <s v="CUST0501"/>
    <s v="Neha"/>
    <s v="Male"/>
    <n v="28"/>
    <s v="Chennai"/>
    <x v="0"/>
    <x v="2"/>
    <x v="3"/>
    <x v="3"/>
    <s v="Pending"/>
    <n v="4"/>
    <n v="2253"/>
    <n v="7209.6"/>
    <n v="1435.11"/>
  </r>
  <r>
    <s v="ORD0502"/>
    <d v="2024-07-25T00:00:00"/>
    <s v="CUST0502"/>
    <s v="Neha"/>
    <s v="Female"/>
    <n v="44"/>
    <s v="Hyderabad"/>
    <x v="2"/>
    <x v="0"/>
    <x v="2"/>
    <x v="2"/>
    <s v="Delivered"/>
    <n v="2"/>
    <n v="49614"/>
    <n v="84343.8"/>
    <n v="27655.22"/>
  </r>
  <r>
    <s v="ORD0503"/>
    <d v="2024-12-22T00:00:00"/>
    <s v="CUST0503"/>
    <s v="Vikram"/>
    <s v="Female"/>
    <n v="29"/>
    <s v="Pune"/>
    <x v="0"/>
    <x v="1"/>
    <x v="3"/>
    <x v="0"/>
    <s v="Pending"/>
    <n v="2"/>
    <n v="25300"/>
    <n v="40480"/>
    <n v="9590.7099999999991"/>
  </r>
  <r>
    <s v="ORD0504"/>
    <d v="2024-12-31T00:00:00"/>
    <s v="CUST0504"/>
    <s v="Aarav"/>
    <s v="Male"/>
    <n v="24"/>
    <s v="Bangalore"/>
    <x v="0"/>
    <x v="0"/>
    <x v="0"/>
    <x v="2"/>
    <s v="Returned"/>
    <n v="2"/>
    <n v="35491"/>
    <n v="63883.8"/>
    <n v="21729.85"/>
  </r>
  <r>
    <s v="ORD0505"/>
    <d v="2024-11-30T00:00:00"/>
    <s v="CUST0505"/>
    <s v="Aarav"/>
    <s v="Male"/>
    <n v="56"/>
    <s v="Bangalore"/>
    <x v="1"/>
    <x v="1"/>
    <x v="1"/>
    <x v="1"/>
    <s v="Returned"/>
    <n v="2"/>
    <n v="28985"/>
    <n v="55071.5"/>
    <n v="10443.14"/>
  </r>
  <r>
    <s v="ORD0506"/>
    <d v="2024-03-06T00:00:00"/>
    <s v="CUST0506"/>
    <s v="Ananya"/>
    <s v="Male"/>
    <n v="21"/>
    <s v="Hyderabad"/>
    <x v="0"/>
    <x v="2"/>
    <x v="2"/>
    <x v="3"/>
    <s v="Delivered"/>
    <n v="1"/>
    <n v="34205"/>
    <n v="27364"/>
    <n v="7496.92"/>
  </r>
  <r>
    <s v="ORD0507"/>
    <d v="2024-01-23T00:00:00"/>
    <s v="CUST0507"/>
    <s v="Pooja"/>
    <s v="Female"/>
    <n v="45"/>
    <s v="Delhi"/>
    <x v="0"/>
    <x v="0"/>
    <x v="3"/>
    <x v="3"/>
    <s v="Cancelled"/>
    <n v="5"/>
    <n v="27152"/>
    <n v="108608"/>
    <n v="31377.16"/>
  </r>
  <r>
    <s v="ORD0508"/>
    <d v="2024-08-10T00:00:00"/>
    <s v="CUST0508"/>
    <s v="Amit"/>
    <s v="Female"/>
    <n v="34"/>
    <s v="Chennai"/>
    <x v="1"/>
    <x v="2"/>
    <x v="0"/>
    <x v="4"/>
    <s v="Pending"/>
    <n v="4"/>
    <n v="6646"/>
    <n v="23925.599999999999"/>
    <n v="5329.22"/>
  </r>
  <r>
    <s v="ORD0509"/>
    <d v="2024-02-22T00:00:00"/>
    <s v="CUST0509"/>
    <s v="Priya"/>
    <s v="Male"/>
    <n v="59"/>
    <s v="Chennai"/>
    <x v="0"/>
    <x v="2"/>
    <x v="3"/>
    <x v="2"/>
    <s v="Delivered"/>
    <n v="3"/>
    <n v="31875"/>
    <n v="95625"/>
    <n v="28271.7"/>
  </r>
  <r>
    <s v="ORD0510"/>
    <d v="2024-03-29T00:00:00"/>
    <s v="CUST0510"/>
    <s v="Rahul"/>
    <s v="Female"/>
    <n v="38"/>
    <s v="Delhi"/>
    <x v="0"/>
    <x v="0"/>
    <x v="3"/>
    <x v="1"/>
    <s v="Pending"/>
    <n v="2"/>
    <n v="8044"/>
    <n v="13674.8"/>
    <n v="5174.91"/>
  </r>
  <r>
    <s v="ORD0511"/>
    <d v="2024-12-01T00:00:00"/>
    <s v="CUST0511"/>
    <s v="Neha"/>
    <s v="Male"/>
    <n v="35"/>
    <s v="Delhi"/>
    <x v="0"/>
    <x v="1"/>
    <x v="2"/>
    <x v="4"/>
    <s v="Pending"/>
    <n v="5"/>
    <n v="21564"/>
    <n v="91647"/>
    <n v="32575.7"/>
  </r>
  <r>
    <s v="ORD0512"/>
    <d v="2024-10-13T00:00:00"/>
    <s v="CUST0512"/>
    <s v="Pooja"/>
    <s v="Female"/>
    <n v="22"/>
    <s v="Delhi"/>
    <x v="1"/>
    <x v="2"/>
    <x v="0"/>
    <x v="0"/>
    <s v="Pending"/>
    <n v="5"/>
    <n v="22577"/>
    <n v="90308"/>
    <n v="24174.52"/>
  </r>
  <r>
    <s v="ORD0513"/>
    <d v="2024-02-17T00:00:00"/>
    <s v="CUST0513"/>
    <s v="Sneha"/>
    <s v="Male"/>
    <n v="45"/>
    <s v="Pune"/>
    <x v="0"/>
    <x v="1"/>
    <x v="0"/>
    <x v="0"/>
    <s v="Returned"/>
    <n v="3"/>
    <n v="1052"/>
    <n v="3156"/>
    <n v="561.85"/>
  </r>
  <r>
    <s v="ORD0514"/>
    <d v="2024-11-17T00:00:00"/>
    <s v="CUST0514"/>
    <s v="Aarav"/>
    <s v="Female"/>
    <n v="49"/>
    <s v="Bangalore"/>
    <x v="0"/>
    <x v="1"/>
    <x v="4"/>
    <x v="3"/>
    <s v="Delivered"/>
    <n v="5"/>
    <n v="18531"/>
    <n v="83389.5"/>
    <n v="29275.21"/>
  </r>
  <r>
    <s v="ORD0515"/>
    <d v="2024-06-19T00:00:00"/>
    <s v="CUST0515"/>
    <s v="Vikram"/>
    <s v="Male"/>
    <n v="48"/>
    <s v="Hyderabad"/>
    <x v="0"/>
    <x v="1"/>
    <x v="1"/>
    <x v="4"/>
    <s v="Pending"/>
    <n v="5"/>
    <n v="30444"/>
    <n v="136998"/>
    <n v="31904.75"/>
  </r>
  <r>
    <s v="ORD0516"/>
    <d v="2024-07-29T00:00:00"/>
    <s v="CUST0516"/>
    <s v="Pooja"/>
    <s v="Male"/>
    <n v="24"/>
    <s v="Hyderabad"/>
    <x v="0"/>
    <x v="2"/>
    <x v="4"/>
    <x v="0"/>
    <s v="Returned"/>
    <n v="2"/>
    <n v="2265"/>
    <n v="3624"/>
    <n v="1101.02"/>
  </r>
  <r>
    <s v="ORD0517"/>
    <d v="2024-07-21T00:00:00"/>
    <s v="CUST0517"/>
    <s v="Ananya"/>
    <s v="Male"/>
    <n v="35"/>
    <s v="Chennai"/>
    <x v="0"/>
    <x v="1"/>
    <x v="1"/>
    <x v="3"/>
    <s v="Delivered"/>
    <n v="3"/>
    <n v="38946"/>
    <n v="116838"/>
    <n v="36253.42"/>
  </r>
  <r>
    <s v="ORD0518"/>
    <d v="2024-10-04T00:00:00"/>
    <s v="CUST0518"/>
    <s v="Aarav"/>
    <s v="Female"/>
    <n v="37"/>
    <s v="Bangalore"/>
    <x v="0"/>
    <x v="1"/>
    <x v="3"/>
    <x v="3"/>
    <s v="Delivered"/>
    <n v="1"/>
    <n v="29900"/>
    <n v="25415"/>
    <n v="8816.33"/>
  </r>
  <r>
    <s v="ORD0519"/>
    <d v="2024-02-07T00:00:00"/>
    <s v="CUST0519"/>
    <s v="Pooja"/>
    <s v="Female"/>
    <n v="20"/>
    <s v="Mumbai"/>
    <x v="0"/>
    <x v="2"/>
    <x v="2"/>
    <x v="0"/>
    <s v="Cancelled"/>
    <n v="2"/>
    <n v="9030"/>
    <n v="17157"/>
    <n v="6355.48"/>
  </r>
  <r>
    <s v="ORD0520"/>
    <d v="2024-07-26T00:00:00"/>
    <s v="CUST0520"/>
    <s v="Ananya"/>
    <s v="Female"/>
    <n v="22"/>
    <s v="Hyderabad"/>
    <x v="2"/>
    <x v="0"/>
    <x v="1"/>
    <x v="2"/>
    <s v="Returned"/>
    <n v="2"/>
    <n v="48909"/>
    <n v="78254.399999999994"/>
    <n v="14161.99"/>
  </r>
  <r>
    <s v="ORD0521"/>
    <d v="2024-09-27T00:00:00"/>
    <s v="CUST0521"/>
    <s v="Priya"/>
    <s v="Male"/>
    <n v="57"/>
    <s v="Bangalore"/>
    <x v="0"/>
    <x v="1"/>
    <x v="0"/>
    <x v="4"/>
    <s v="Delivered"/>
    <n v="2"/>
    <n v="42702"/>
    <n v="81133.8"/>
    <n v="15546.04"/>
  </r>
  <r>
    <s v="ORD0522"/>
    <d v="2024-11-02T00:00:00"/>
    <s v="CUST0522"/>
    <s v="Ananya"/>
    <s v="Female"/>
    <n v="36"/>
    <s v="Delhi"/>
    <x v="0"/>
    <x v="0"/>
    <x v="2"/>
    <x v="1"/>
    <s v="Pending"/>
    <n v="2"/>
    <n v="4977"/>
    <n v="8958.6"/>
    <n v="1741.04"/>
  </r>
  <r>
    <s v="ORD0523"/>
    <d v="2024-10-17T00:00:00"/>
    <s v="CUST0523"/>
    <s v="Sneha"/>
    <s v="Male"/>
    <n v="27"/>
    <s v="Pune"/>
    <x v="1"/>
    <x v="2"/>
    <x v="0"/>
    <x v="4"/>
    <s v="Cancelled"/>
    <n v="3"/>
    <n v="5078"/>
    <n v="15234"/>
    <n v="3581.59"/>
  </r>
  <r>
    <s v="ORD0524"/>
    <d v="2024-06-03T00:00:00"/>
    <s v="CUST0524"/>
    <s v="Ananya"/>
    <s v="Female"/>
    <n v="49"/>
    <s v="Mumbai"/>
    <x v="0"/>
    <x v="1"/>
    <x v="0"/>
    <x v="1"/>
    <s v="Pending"/>
    <n v="4"/>
    <n v="34401"/>
    <n v="116963.4"/>
    <n v="18695.53"/>
  </r>
  <r>
    <s v="ORD0525"/>
    <d v="2024-12-13T00:00:00"/>
    <s v="CUST0525"/>
    <s v="Sneha"/>
    <s v="Male"/>
    <n v="39"/>
    <s v="Delhi"/>
    <x v="0"/>
    <x v="1"/>
    <x v="0"/>
    <x v="0"/>
    <s v="Returned"/>
    <n v="4"/>
    <n v="20226"/>
    <n v="80904"/>
    <n v="31545.29"/>
  </r>
  <r>
    <s v="ORD0526"/>
    <d v="2024-02-08T00:00:00"/>
    <s v="CUST0526"/>
    <s v="Pooja"/>
    <s v="Male"/>
    <n v="41"/>
    <s v="Delhi"/>
    <x v="0"/>
    <x v="1"/>
    <x v="4"/>
    <x v="4"/>
    <s v="Pending"/>
    <n v="2"/>
    <n v="41412"/>
    <n v="66259.199999999997"/>
    <n v="21432.48"/>
  </r>
  <r>
    <s v="ORD0527"/>
    <d v="2024-02-11T00:00:00"/>
    <s v="CUST0527"/>
    <s v="Rohan"/>
    <s v="Female"/>
    <n v="28"/>
    <s v="Mumbai"/>
    <x v="0"/>
    <x v="0"/>
    <x v="3"/>
    <x v="4"/>
    <s v="Pending"/>
    <n v="4"/>
    <n v="49316"/>
    <n v="197264"/>
    <n v="64052.639999999999"/>
  </r>
  <r>
    <s v="ORD0528"/>
    <d v="2024-11-01T00:00:00"/>
    <s v="CUST0528"/>
    <s v="Pooja"/>
    <s v="Female"/>
    <n v="33"/>
    <s v="Mumbai"/>
    <x v="0"/>
    <x v="0"/>
    <x v="4"/>
    <x v="4"/>
    <s v="Cancelled"/>
    <n v="5"/>
    <n v="46613"/>
    <n v="198105.25"/>
    <n v="75787.16"/>
  </r>
  <r>
    <s v="ORD0529"/>
    <d v="2024-06-06T00:00:00"/>
    <s v="CUST0529"/>
    <s v="Rohan"/>
    <s v="Male"/>
    <n v="41"/>
    <s v="Delhi"/>
    <x v="0"/>
    <x v="1"/>
    <x v="0"/>
    <x v="2"/>
    <s v="Pending"/>
    <n v="5"/>
    <n v="38742"/>
    <n v="154968"/>
    <n v="61043.28"/>
  </r>
  <r>
    <s v="ORD0530"/>
    <d v="2024-11-22T00:00:00"/>
    <s v="CUST0530"/>
    <s v="Sneha"/>
    <s v="Male"/>
    <n v="19"/>
    <s v="Pune"/>
    <x v="1"/>
    <x v="0"/>
    <x v="0"/>
    <x v="4"/>
    <s v="Delivered"/>
    <n v="5"/>
    <n v="49426"/>
    <n v="222417"/>
    <n v="59047.53"/>
  </r>
  <r>
    <s v="ORD0531"/>
    <d v="2024-03-15T00:00:00"/>
    <s v="CUST0531"/>
    <s v="Vikram"/>
    <s v="Male"/>
    <n v="43"/>
    <s v="Mumbai"/>
    <x v="1"/>
    <x v="2"/>
    <x v="2"/>
    <x v="2"/>
    <s v="Delivered"/>
    <n v="4"/>
    <n v="32910"/>
    <n v="131640"/>
    <n v="28708.11"/>
  </r>
  <r>
    <s v="ORD0532"/>
    <d v="2024-09-07T00:00:00"/>
    <s v="CUST0532"/>
    <s v="Rohan"/>
    <s v="Female"/>
    <n v="19"/>
    <s v="Mumbai"/>
    <x v="2"/>
    <x v="1"/>
    <x v="1"/>
    <x v="2"/>
    <s v="Returned"/>
    <n v="1"/>
    <n v="20909"/>
    <n v="17772.650000000001"/>
    <n v="3920.34"/>
  </r>
  <r>
    <s v="ORD0533"/>
    <d v="2024-03-25T00:00:00"/>
    <s v="CUST0533"/>
    <s v="Vikram"/>
    <s v="Female"/>
    <n v="30"/>
    <s v="Delhi"/>
    <x v="0"/>
    <x v="0"/>
    <x v="1"/>
    <x v="0"/>
    <s v="Pending"/>
    <n v="4"/>
    <n v="37748"/>
    <n v="120793.60000000001"/>
    <n v="18573.61"/>
  </r>
  <r>
    <s v="ORD0534"/>
    <d v="2024-05-22T00:00:00"/>
    <s v="CUST0534"/>
    <s v="Rohan"/>
    <s v="Female"/>
    <n v="22"/>
    <s v="Chennai"/>
    <x v="1"/>
    <x v="0"/>
    <x v="3"/>
    <x v="2"/>
    <s v="Cancelled"/>
    <n v="2"/>
    <n v="14899"/>
    <n v="29798"/>
    <n v="6443.93"/>
  </r>
  <r>
    <s v="ORD0535"/>
    <d v="2024-07-16T00:00:00"/>
    <s v="CUST0535"/>
    <s v="Aarav"/>
    <s v="Female"/>
    <n v="23"/>
    <s v="Hyderabad"/>
    <x v="2"/>
    <x v="1"/>
    <x v="4"/>
    <x v="2"/>
    <s v="Cancelled"/>
    <n v="2"/>
    <n v="12998"/>
    <n v="24696.2"/>
    <n v="9049.77"/>
  </r>
  <r>
    <s v="ORD0536"/>
    <d v="2024-05-25T00:00:00"/>
    <s v="CUST0536"/>
    <s v="Ananya"/>
    <s v="Male"/>
    <n v="36"/>
    <s v="Mumbai"/>
    <x v="2"/>
    <x v="0"/>
    <x v="4"/>
    <x v="2"/>
    <s v="Cancelled"/>
    <n v="1"/>
    <n v="16661"/>
    <n v="14161.85"/>
    <n v="3365.64"/>
  </r>
  <r>
    <s v="ORD0537"/>
    <d v="2024-08-01T00:00:00"/>
    <s v="CUST0537"/>
    <s v="Priya"/>
    <s v="Female"/>
    <n v="39"/>
    <s v="Pune"/>
    <x v="1"/>
    <x v="2"/>
    <x v="4"/>
    <x v="4"/>
    <s v="Pending"/>
    <n v="3"/>
    <n v="6435"/>
    <n v="19305"/>
    <n v="2929.92"/>
  </r>
  <r>
    <s v="ORD0538"/>
    <d v="2024-10-22T00:00:00"/>
    <s v="CUST0538"/>
    <s v="Amit"/>
    <s v="Male"/>
    <n v="23"/>
    <s v="Delhi"/>
    <x v="1"/>
    <x v="2"/>
    <x v="4"/>
    <x v="3"/>
    <s v="Returned"/>
    <n v="2"/>
    <n v="22711"/>
    <n v="45422"/>
    <n v="7755.1"/>
  </r>
  <r>
    <s v="ORD0539"/>
    <d v="2024-07-01T00:00:00"/>
    <s v="CUST0539"/>
    <s v="Ananya"/>
    <s v="Male"/>
    <n v="51"/>
    <s v="Pune"/>
    <x v="0"/>
    <x v="2"/>
    <x v="2"/>
    <x v="4"/>
    <s v="Cancelled"/>
    <n v="5"/>
    <n v="44094"/>
    <n v="209446.5"/>
    <n v="63363.35"/>
  </r>
  <r>
    <s v="ORD0540"/>
    <d v="2024-03-13T00:00:00"/>
    <s v="CUST0540"/>
    <s v="Priya"/>
    <s v="Female"/>
    <n v="49"/>
    <s v="Pune"/>
    <x v="0"/>
    <x v="2"/>
    <x v="2"/>
    <x v="1"/>
    <s v="Pending"/>
    <n v="2"/>
    <n v="2175"/>
    <n v="4132.5"/>
    <n v="1505.72"/>
  </r>
  <r>
    <s v="ORD0541"/>
    <d v="2024-07-26T00:00:00"/>
    <s v="CUST0541"/>
    <s v="Aarav"/>
    <s v="Male"/>
    <n v="44"/>
    <s v="Bangalore"/>
    <x v="1"/>
    <x v="1"/>
    <x v="0"/>
    <x v="2"/>
    <s v="Pending"/>
    <n v="2"/>
    <n v="27488"/>
    <n v="49478.400000000001"/>
    <n v="12951.41"/>
  </r>
  <r>
    <s v="ORD0542"/>
    <d v="2024-12-19T00:00:00"/>
    <s v="CUST0542"/>
    <s v="Sneha"/>
    <s v="Male"/>
    <n v="56"/>
    <s v="Delhi"/>
    <x v="0"/>
    <x v="2"/>
    <x v="1"/>
    <x v="0"/>
    <s v="Returned"/>
    <n v="4"/>
    <n v="2166"/>
    <n v="8664"/>
    <n v="3406.79"/>
  </r>
  <r>
    <s v="ORD0543"/>
    <d v="2024-05-27T00:00:00"/>
    <s v="CUST0543"/>
    <s v="Aarav"/>
    <s v="Female"/>
    <n v="26"/>
    <s v="Bangalore"/>
    <x v="1"/>
    <x v="2"/>
    <x v="4"/>
    <x v="1"/>
    <s v="Delivered"/>
    <n v="2"/>
    <n v="14421"/>
    <n v="24515.7"/>
    <n v="4801.68"/>
  </r>
  <r>
    <s v="ORD0544"/>
    <d v="2024-08-14T00:00:00"/>
    <s v="CUST0544"/>
    <s v="Rahul"/>
    <s v="Female"/>
    <n v="57"/>
    <s v="Pune"/>
    <x v="2"/>
    <x v="0"/>
    <x v="2"/>
    <x v="4"/>
    <s v="Pending"/>
    <n v="4"/>
    <n v="1139"/>
    <n v="3872.6"/>
    <n v="610.67999999999995"/>
  </r>
  <r>
    <s v="ORD0545"/>
    <d v="2024-07-05T00:00:00"/>
    <s v="CUST0545"/>
    <s v="Rohan"/>
    <s v="Male"/>
    <n v="43"/>
    <s v="Pune"/>
    <x v="2"/>
    <x v="1"/>
    <x v="4"/>
    <x v="0"/>
    <s v="Pending"/>
    <n v="5"/>
    <n v="15659"/>
    <n v="78295"/>
    <n v="24749.08"/>
  </r>
  <r>
    <s v="ORD0546"/>
    <d v="2024-09-15T00:00:00"/>
    <s v="CUST0546"/>
    <s v="Priya"/>
    <s v="Male"/>
    <n v="35"/>
    <s v="Bangalore"/>
    <x v="0"/>
    <x v="0"/>
    <x v="4"/>
    <x v="3"/>
    <s v="Pending"/>
    <n v="3"/>
    <n v="6891"/>
    <n v="16538.400000000001"/>
    <n v="6144"/>
  </r>
  <r>
    <s v="ORD0547"/>
    <d v="2024-08-18T00:00:00"/>
    <s v="CUST0547"/>
    <s v="Rahul"/>
    <s v="Female"/>
    <n v="37"/>
    <s v="Delhi"/>
    <x v="0"/>
    <x v="1"/>
    <x v="3"/>
    <x v="3"/>
    <s v="Pending"/>
    <n v="5"/>
    <n v="29544"/>
    <n v="125562"/>
    <n v="34530.42"/>
  </r>
  <r>
    <s v="ORD0548"/>
    <d v="2024-03-29T00:00:00"/>
    <s v="CUST0548"/>
    <s v="Sneha"/>
    <s v="Male"/>
    <n v="41"/>
    <s v="Bangalore"/>
    <x v="0"/>
    <x v="0"/>
    <x v="3"/>
    <x v="1"/>
    <s v="Cancelled"/>
    <n v="3"/>
    <n v="46762"/>
    <n v="126257.4"/>
    <n v="25155.61"/>
  </r>
  <r>
    <s v="ORD0549"/>
    <d v="2024-04-30T00:00:00"/>
    <s v="CUST0549"/>
    <s v="Neha"/>
    <s v="Female"/>
    <n v="50"/>
    <s v="Pune"/>
    <x v="1"/>
    <x v="0"/>
    <x v="1"/>
    <x v="0"/>
    <s v="Cancelled"/>
    <n v="3"/>
    <n v="22166"/>
    <n v="66498"/>
    <n v="15233.71"/>
  </r>
  <r>
    <s v="ORD0550"/>
    <d v="2024-01-21T00:00:00"/>
    <s v="CUST0550"/>
    <s v="Vikram"/>
    <s v="Female"/>
    <n v="34"/>
    <s v="Pune"/>
    <x v="1"/>
    <x v="2"/>
    <x v="0"/>
    <x v="0"/>
    <s v="Pending"/>
    <n v="1"/>
    <n v="26525"/>
    <n v="21220"/>
    <n v="3369.61"/>
  </r>
  <r>
    <s v="ORD0551"/>
    <d v="2024-12-18T00:00:00"/>
    <s v="CUST0551"/>
    <s v="Amit"/>
    <s v="Male"/>
    <n v="34"/>
    <s v="Delhi"/>
    <x v="0"/>
    <x v="0"/>
    <x v="2"/>
    <x v="4"/>
    <s v="Cancelled"/>
    <n v="5"/>
    <n v="39160"/>
    <n v="186010"/>
    <n v="31193.27"/>
  </r>
  <r>
    <s v="ORD0552"/>
    <d v="2024-10-01T00:00:00"/>
    <s v="CUST0552"/>
    <s v="Rahul"/>
    <s v="Male"/>
    <n v="32"/>
    <s v="Pune"/>
    <x v="2"/>
    <x v="0"/>
    <x v="1"/>
    <x v="3"/>
    <s v="Delivered"/>
    <n v="1"/>
    <n v="22375"/>
    <n v="19018.75"/>
    <n v="7353.44"/>
  </r>
  <r>
    <s v="ORD0553"/>
    <d v="2024-09-02T00:00:00"/>
    <s v="CUST0553"/>
    <s v="Aarav"/>
    <s v="Female"/>
    <n v="52"/>
    <s v="Pune"/>
    <x v="0"/>
    <x v="2"/>
    <x v="3"/>
    <x v="4"/>
    <s v="Cancelled"/>
    <n v="4"/>
    <n v="24696"/>
    <n v="79027.199999999997"/>
    <n v="24144.5"/>
  </r>
  <r>
    <s v="ORD0554"/>
    <d v="2024-04-12T00:00:00"/>
    <s v="CUST0554"/>
    <s v="Neha"/>
    <s v="Male"/>
    <n v="53"/>
    <s v="Bangalore"/>
    <x v="0"/>
    <x v="0"/>
    <x v="4"/>
    <x v="2"/>
    <s v="Cancelled"/>
    <n v="1"/>
    <n v="18108"/>
    <n v="16297.2"/>
    <n v="6030.1"/>
  </r>
  <r>
    <s v="ORD0555"/>
    <d v="2024-03-23T00:00:00"/>
    <s v="CUST0555"/>
    <s v="Neha"/>
    <s v="Male"/>
    <n v="24"/>
    <s v="Bangalore"/>
    <x v="1"/>
    <x v="1"/>
    <x v="1"/>
    <x v="1"/>
    <s v="Cancelled"/>
    <n v="1"/>
    <n v="25374"/>
    <n v="25374"/>
    <n v="7403.06"/>
  </r>
  <r>
    <s v="ORD0556"/>
    <d v="2024-06-10T00:00:00"/>
    <s v="CUST0556"/>
    <s v="Amit"/>
    <s v="Male"/>
    <n v="49"/>
    <s v="Hyderabad"/>
    <x v="1"/>
    <x v="2"/>
    <x v="0"/>
    <x v="3"/>
    <s v="Returned"/>
    <n v="3"/>
    <n v="11369"/>
    <n v="27285.599999999999"/>
    <n v="5173.16"/>
  </r>
  <r>
    <s v="ORD0557"/>
    <d v="2024-11-24T00:00:00"/>
    <s v="CUST0557"/>
    <s v="Neha"/>
    <s v="Male"/>
    <n v="41"/>
    <s v="Pune"/>
    <x v="2"/>
    <x v="0"/>
    <x v="0"/>
    <x v="4"/>
    <s v="Pending"/>
    <n v="1"/>
    <n v="27164"/>
    <n v="23089.4"/>
    <n v="9158.81"/>
  </r>
  <r>
    <s v="ORD0558"/>
    <d v="2024-09-04T00:00:00"/>
    <s v="CUST0558"/>
    <s v="Aarav"/>
    <s v="Male"/>
    <n v="31"/>
    <s v="Bangalore"/>
    <x v="1"/>
    <x v="2"/>
    <x v="1"/>
    <x v="0"/>
    <s v="Cancelled"/>
    <n v="2"/>
    <n v="35733"/>
    <n v="67892.7"/>
    <n v="19533.04"/>
  </r>
  <r>
    <s v="ORD0559"/>
    <d v="2024-12-26T00:00:00"/>
    <s v="CUST0559"/>
    <s v="Rahul"/>
    <s v="Male"/>
    <n v="38"/>
    <s v="Pune"/>
    <x v="0"/>
    <x v="0"/>
    <x v="4"/>
    <x v="2"/>
    <s v="Cancelled"/>
    <n v="5"/>
    <n v="27354"/>
    <n v="116254.5"/>
    <n v="38291.980000000003"/>
  </r>
  <r>
    <s v="ORD0560"/>
    <d v="2024-11-11T00:00:00"/>
    <s v="CUST0560"/>
    <s v="Ananya"/>
    <s v="Male"/>
    <n v="40"/>
    <s v="Pune"/>
    <x v="0"/>
    <x v="0"/>
    <x v="1"/>
    <x v="0"/>
    <s v="Cancelled"/>
    <n v="5"/>
    <n v="36981"/>
    <n v="175659.75"/>
    <n v="53618.94"/>
  </r>
  <r>
    <s v="ORD0561"/>
    <d v="2024-03-27T00:00:00"/>
    <s v="CUST0561"/>
    <s v="Aarav"/>
    <s v="Male"/>
    <n v="58"/>
    <s v="Delhi"/>
    <x v="0"/>
    <x v="2"/>
    <x v="4"/>
    <x v="0"/>
    <s v="Pending"/>
    <n v="2"/>
    <n v="48946"/>
    <n v="88102.8"/>
    <n v="23976.81"/>
  </r>
  <r>
    <s v="ORD0562"/>
    <d v="2024-12-29T00:00:00"/>
    <s v="CUST0562"/>
    <s v="Rohan"/>
    <s v="Male"/>
    <n v="31"/>
    <s v="Pune"/>
    <x v="0"/>
    <x v="2"/>
    <x v="4"/>
    <x v="3"/>
    <s v="Cancelled"/>
    <n v="5"/>
    <n v="26611"/>
    <n v="113096.75"/>
    <n v="35734.44"/>
  </r>
  <r>
    <s v="ORD0563"/>
    <d v="2024-10-07T00:00:00"/>
    <s v="CUST0563"/>
    <s v="Amit"/>
    <s v="Female"/>
    <n v="48"/>
    <s v="Delhi"/>
    <x v="0"/>
    <x v="0"/>
    <x v="4"/>
    <x v="0"/>
    <s v="Pending"/>
    <n v="3"/>
    <n v="13079"/>
    <n v="33351.449999999997"/>
    <n v="12388.19"/>
  </r>
  <r>
    <s v="ORD0564"/>
    <d v="2024-04-19T00:00:00"/>
    <s v="CUST0564"/>
    <s v="Rahul"/>
    <s v="Female"/>
    <n v="51"/>
    <s v="Mumbai"/>
    <x v="0"/>
    <x v="2"/>
    <x v="1"/>
    <x v="1"/>
    <s v="Returned"/>
    <n v="4"/>
    <n v="47882"/>
    <n v="191528"/>
    <n v="47722.25"/>
  </r>
  <r>
    <s v="ORD0565"/>
    <d v="2024-10-06T00:00:00"/>
    <s v="CUST0565"/>
    <s v="Vikram"/>
    <s v="Female"/>
    <n v="22"/>
    <s v="Pune"/>
    <x v="0"/>
    <x v="2"/>
    <x v="0"/>
    <x v="3"/>
    <s v="Cancelled"/>
    <n v="4"/>
    <n v="28329"/>
    <n v="101984.4"/>
    <n v="15750.5"/>
  </r>
  <r>
    <s v="ORD0566"/>
    <d v="2024-03-03T00:00:00"/>
    <s v="CUST0566"/>
    <s v="Neha"/>
    <s v="Female"/>
    <n v="38"/>
    <s v="Mumbai"/>
    <x v="0"/>
    <x v="1"/>
    <x v="2"/>
    <x v="4"/>
    <s v="Delivered"/>
    <n v="3"/>
    <n v="29911"/>
    <n v="76273.05"/>
    <n v="16227.54"/>
  </r>
  <r>
    <s v="ORD0567"/>
    <d v="2024-06-24T00:00:00"/>
    <s v="CUST0567"/>
    <s v="Neha"/>
    <s v="Male"/>
    <n v="18"/>
    <s v="Hyderabad"/>
    <x v="1"/>
    <x v="0"/>
    <x v="2"/>
    <x v="2"/>
    <s v="Returned"/>
    <n v="2"/>
    <n v="29831"/>
    <n v="53695.8"/>
    <n v="10977.44"/>
  </r>
  <r>
    <s v="ORD0568"/>
    <d v="2024-01-16T00:00:00"/>
    <s v="CUST0568"/>
    <s v="Ananya"/>
    <s v="Female"/>
    <n v="54"/>
    <s v="Bangalore"/>
    <x v="2"/>
    <x v="0"/>
    <x v="3"/>
    <x v="1"/>
    <s v="Pending"/>
    <n v="1"/>
    <n v="37724"/>
    <n v="37724"/>
    <n v="9534.93"/>
  </r>
  <r>
    <s v="ORD0569"/>
    <d v="2024-09-12T00:00:00"/>
    <s v="CUST0569"/>
    <s v="Rahul"/>
    <s v="Male"/>
    <n v="22"/>
    <s v="Chennai"/>
    <x v="1"/>
    <x v="0"/>
    <x v="2"/>
    <x v="2"/>
    <s v="Cancelled"/>
    <n v="5"/>
    <n v="28175"/>
    <n v="112700"/>
    <n v="35024"/>
  </r>
  <r>
    <s v="ORD0570"/>
    <d v="2024-02-01T00:00:00"/>
    <s v="CUST0570"/>
    <s v="Vikram"/>
    <s v="Female"/>
    <n v="42"/>
    <s v="Mumbai"/>
    <x v="0"/>
    <x v="0"/>
    <x v="4"/>
    <x v="4"/>
    <s v="Pending"/>
    <n v="1"/>
    <n v="26834"/>
    <n v="24150.6"/>
    <n v="8375.77"/>
  </r>
  <r>
    <s v="ORD0571"/>
    <d v="2024-09-12T00:00:00"/>
    <s v="CUST0571"/>
    <s v="Vikram"/>
    <s v="Female"/>
    <n v="19"/>
    <s v="Hyderabad"/>
    <x v="2"/>
    <x v="1"/>
    <x v="2"/>
    <x v="3"/>
    <s v="Pending"/>
    <n v="2"/>
    <n v="23349"/>
    <n v="39693.300000000003"/>
    <n v="8965.34"/>
  </r>
  <r>
    <s v="ORD0572"/>
    <d v="2024-03-10T00:00:00"/>
    <s v="CUST0572"/>
    <s v="Neha"/>
    <s v="Male"/>
    <n v="55"/>
    <s v="Bangalore"/>
    <x v="0"/>
    <x v="1"/>
    <x v="2"/>
    <x v="4"/>
    <s v="Pending"/>
    <n v="1"/>
    <n v="27599"/>
    <n v="23459.15"/>
    <n v="5919.38"/>
  </r>
  <r>
    <s v="ORD0573"/>
    <d v="2024-04-02T00:00:00"/>
    <s v="CUST0573"/>
    <s v="Vikram"/>
    <s v="Male"/>
    <n v="46"/>
    <s v="Delhi"/>
    <x v="0"/>
    <x v="0"/>
    <x v="3"/>
    <x v="1"/>
    <s v="Delivered"/>
    <n v="1"/>
    <n v="1386"/>
    <n v="1178.0999999999999"/>
    <n v="374.81"/>
  </r>
  <r>
    <s v="ORD0574"/>
    <d v="2024-12-27T00:00:00"/>
    <s v="CUST0574"/>
    <s v="Amit"/>
    <s v="Male"/>
    <n v="48"/>
    <s v="Bangalore"/>
    <x v="0"/>
    <x v="2"/>
    <x v="0"/>
    <x v="2"/>
    <s v="Returned"/>
    <n v="3"/>
    <n v="24522"/>
    <n v="66209.399999999994"/>
    <n v="23446.49"/>
  </r>
  <r>
    <s v="ORD0575"/>
    <d v="2024-07-10T00:00:00"/>
    <s v="CUST0575"/>
    <s v="Neha"/>
    <s v="Female"/>
    <n v="54"/>
    <s v="Chennai"/>
    <x v="0"/>
    <x v="2"/>
    <x v="4"/>
    <x v="4"/>
    <s v="Cancelled"/>
    <n v="3"/>
    <n v="35901"/>
    <n v="96932.7"/>
    <n v="22112.07"/>
  </r>
  <r>
    <s v="ORD0576"/>
    <d v="2024-03-28T00:00:00"/>
    <s v="CUST0576"/>
    <s v="Ananya"/>
    <s v="Female"/>
    <n v="58"/>
    <s v="Pune"/>
    <x v="2"/>
    <x v="0"/>
    <x v="4"/>
    <x v="1"/>
    <s v="Pending"/>
    <n v="5"/>
    <n v="36415"/>
    <n v="172971.25"/>
    <n v="57070.02"/>
  </r>
  <r>
    <s v="ORD0577"/>
    <d v="2024-02-29T00:00:00"/>
    <s v="CUST0577"/>
    <s v="Neha"/>
    <s v="Male"/>
    <n v="39"/>
    <s v="Chennai"/>
    <x v="1"/>
    <x v="1"/>
    <x v="2"/>
    <x v="0"/>
    <s v="Delivered"/>
    <n v="4"/>
    <n v="21838"/>
    <n v="69881.600000000006"/>
    <n v="15109.23"/>
  </r>
  <r>
    <s v="ORD0578"/>
    <d v="2024-07-15T00:00:00"/>
    <s v="CUST0578"/>
    <s v="Amit"/>
    <s v="Female"/>
    <n v="39"/>
    <s v="Delhi"/>
    <x v="1"/>
    <x v="2"/>
    <x v="2"/>
    <x v="3"/>
    <s v="Cancelled"/>
    <n v="4"/>
    <n v="49004"/>
    <n v="176414.4"/>
    <n v="36292.61"/>
  </r>
  <r>
    <s v="ORD0579"/>
    <d v="2024-09-04T00:00:00"/>
    <s v="CUST0579"/>
    <s v="Pooja"/>
    <s v="Male"/>
    <n v="37"/>
    <s v="Delhi"/>
    <x v="2"/>
    <x v="0"/>
    <x v="3"/>
    <x v="4"/>
    <s v="Cancelled"/>
    <n v="1"/>
    <n v="48209"/>
    <n v="45798.55"/>
    <n v="7467.11"/>
  </r>
  <r>
    <s v="ORD0580"/>
    <d v="2024-03-21T00:00:00"/>
    <s v="CUST0580"/>
    <s v="Vikram"/>
    <s v="Female"/>
    <n v="32"/>
    <s v="Pune"/>
    <x v="1"/>
    <x v="1"/>
    <x v="4"/>
    <x v="2"/>
    <s v="Returned"/>
    <n v="3"/>
    <n v="20655"/>
    <n v="58866.75"/>
    <n v="14188.6"/>
  </r>
  <r>
    <s v="ORD0581"/>
    <d v="2024-05-05T00:00:00"/>
    <s v="CUST0581"/>
    <s v="Aarav"/>
    <s v="Male"/>
    <n v="34"/>
    <s v="Delhi"/>
    <x v="0"/>
    <x v="0"/>
    <x v="2"/>
    <x v="1"/>
    <s v="Returned"/>
    <n v="4"/>
    <n v="14311"/>
    <n v="51519.6"/>
    <n v="17884.84"/>
  </r>
  <r>
    <s v="ORD0582"/>
    <d v="2024-06-20T00:00:00"/>
    <s v="CUST0582"/>
    <s v="Amit"/>
    <s v="Male"/>
    <n v="53"/>
    <s v="Pune"/>
    <x v="2"/>
    <x v="2"/>
    <x v="0"/>
    <x v="3"/>
    <s v="Returned"/>
    <n v="4"/>
    <n v="25151"/>
    <n v="80483.199999999997"/>
    <n v="31944.41"/>
  </r>
  <r>
    <s v="ORD0583"/>
    <d v="2024-05-18T00:00:00"/>
    <s v="CUST0583"/>
    <s v="Vikram"/>
    <s v="Male"/>
    <n v="57"/>
    <s v="Mumbai"/>
    <x v="0"/>
    <x v="1"/>
    <x v="4"/>
    <x v="2"/>
    <s v="Returned"/>
    <n v="3"/>
    <n v="36107"/>
    <n v="97488.9"/>
    <n v="22170.07"/>
  </r>
  <r>
    <s v="ORD0584"/>
    <d v="2024-12-25T00:00:00"/>
    <s v="CUST0584"/>
    <s v="Neha"/>
    <s v="Male"/>
    <n v="58"/>
    <s v="Delhi"/>
    <x v="1"/>
    <x v="0"/>
    <x v="2"/>
    <x v="4"/>
    <s v="Returned"/>
    <n v="4"/>
    <n v="42721"/>
    <n v="162339.79999999999"/>
    <n v="28105.7"/>
  </r>
  <r>
    <s v="ORD0585"/>
    <d v="2024-04-15T00:00:00"/>
    <s v="CUST0585"/>
    <s v="Rahul"/>
    <s v="Male"/>
    <n v="60"/>
    <s v="Bangalore"/>
    <x v="0"/>
    <x v="0"/>
    <x v="4"/>
    <x v="1"/>
    <s v="Delivered"/>
    <n v="3"/>
    <n v="1101"/>
    <n v="2642.4"/>
    <n v="507.92"/>
  </r>
  <r>
    <s v="ORD0586"/>
    <d v="2024-11-13T00:00:00"/>
    <s v="CUST0586"/>
    <s v="Priya"/>
    <s v="Female"/>
    <n v="59"/>
    <s v="Delhi"/>
    <x v="1"/>
    <x v="1"/>
    <x v="4"/>
    <x v="4"/>
    <s v="Cancelled"/>
    <n v="2"/>
    <n v="22870"/>
    <n v="45740"/>
    <n v="14134.06"/>
  </r>
  <r>
    <s v="ORD0587"/>
    <d v="2024-04-16T00:00:00"/>
    <s v="CUST0587"/>
    <s v="Aarav"/>
    <s v="Female"/>
    <n v="28"/>
    <s v="Pune"/>
    <x v="0"/>
    <x v="1"/>
    <x v="2"/>
    <x v="0"/>
    <s v="Delivered"/>
    <n v="3"/>
    <n v="10139"/>
    <n v="30417"/>
    <n v="11505.6"/>
  </r>
  <r>
    <s v="ORD0588"/>
    <d v="2024-11-23T00:00:00"/>
    <s v="CUST0588"/>
    <s v="Priya"/>
    <s v="Female"/>
    <n v="51"/>
    <s v="Pune"/>
    <x v="0"/>
    <x v="2"/>
    <x v="3"/>
    <x v="2"/>
    <s v="Returned"/>
    <n v="5"/>
    <n v="16626"/>
    <n v="66504"/>
    <n v="13341.34"/>
  </r>
  <r>
    <s v="ORD0589"/>
    <d v="2024-02-16T00:00:00"/>
    <s v="CUST0589"/>
    <s v="Vikram"/>
    <s v="Male"/>
    <n v="31"/>
    <s v="Pune"/>
    <x v="0"/>
    <x v="2"/>
    <x v="2"/>
    <x v="2"/>
    <s v="Returned"/>
    <n v="1"/>
    <n v="13465"/>
    <n v="11445.25"/>
    <n v="3647.38"/>
  </r>
  <r>
    <s v="ORD0590"/>
    <d v="2024-01-06T00:00:00"/>
    <s v="CUST0590"/>
    <s v="Rohan"/>
    <s v="Female"/>
    <n v="33"/>
    <s v="Mumbai"/>
    <x v="1"/>
    <x v="1"/>
    <x v="0"/>
    <x v="1"/>
    <s v="Pending"/>
    <n v="2"/>
    <n v="4913"/>
    <n v="8843.4"/>
    <n v="2210.5700000000002"/>
  </r>
  <r>
    <s v="ORD0591"/>
    <d v="2024-02-26T00:00:00"/>
    <s v="CUST0591"/>
    <s v="Neha"/>
    <s v="Male"/>
    <n v="39"/>
    <s v="Mumbai"/>
    <x v="0"/>
    <x v="2"/>
    <x v="2"/>
    <x v="0"/>
    <s v="Returned"/>
    <n v="1"/>
    <n v="10372"/>
    <n v="10372"/>
    <n v="4059.2"/>
  </r>
  <r>
    <s v="ORD0592"/>
    <d v="2024-07-30T00:00:00"/>
    <s v="CUST0592"/>
    <s v="Rahul"/>
    <s v="Female"/>
    <n v="37"/>
    <s v="Mumbai"/>
    <x v="0"/>
    <x v="2"/>
    <x v="3"/>
    <x v="3"/>
    <s v="Returned"/>
    <n v="5"/>
    <n v="24971"/>
    <n v="124855"/>
    <n v="19579.580000000002"/>
  </r>
  <r>
    <s v="ORD0593"/>
    <d v="2024-11-14T00:00:00"/>
    <s v="CUST0593"/>
    <s v="Pooja"/>
    <s v="Male"/>
    <n v="38"/>
    <s v="Bangalore"/>
    <x v="0"/>
    <x v="2"/>
    <x v="3"/>
    <x v="0"/>
    <s v="Pending"/>
    <n v="5"/>
    <n v="29935"/>
    <n v="142191.25"/>
    <n v="51527.7"/>
  </r>
  <r>
    <s v="ORD0594"/>
    <d v="2024-10-06T00:00:00"/>
    <s v="CUST0594"/>
    <s v="Neha"/>
    <s v="Male"/>
    <n v="44"/>
    <s v="Pune"/>
    <x v="2"/>
    <x v="0"/>
    <x v="3"/>
    <x v="4"/>
    <s v="Delivered"/>
    <n v="5"/>
    <n v="17206"/>
    <n v="77427"/>
    <n v="17074.66"/>
  </r>
  <r>
    <s v="ORD0595"/>
    <d v="2024-12-06T00:00:00"/>
    <s v="CUST0595"/>
    <s v="Pooja"/>
    <s v="Male"/>
    <n v="58"/>
    <s v="Mumbai"/>
    <x v="0"/>
    <x v="2"/>
    <x v="2"/>
    <x v="3"/>
    <s v="Returned"/>
    <n v="2"/>
    <n v="17573"/>
    <n v="35146"/>
    <n v="11099.13"/>
  </r>
  <r>
    <s v="ORD0596"/>
    <d v="2024-01-06T00:00:00"/>
    <s v="CUST0596"/>
    <s v="Amit"/>
    <s v="Male"/>
    <n v="19"/>
    <s v="Mumbai"/>
    <x v="0"/>
    <x v="0"/>
    <x v="2"/>
    <x v="3"/>
    <s v="Cancelled"/>
    <n v="3"/>
    <n v="16434"/>
    <n v="39441.599999999999"/>
    <n v="9899.1"/>
  </r>
  <r>
    <s v="ORD0597"/>
    <d v="2024-03-08T00:00:00"/>
    <s v="CUST0597"/>
    <s v="Pooja"/>
    <s v="Female"/>
    <n v="48"/>
    <s v="Hyderabad"/>
    <x v="0"/>
    <x v="2"/>
    <x v="1"/>
    <x v="3"/>
    <s v="Pending"/>
    <n v="4"/>
    <n v="43564"/>
    <n v="156830.39999999999"/>
    <n v="25080.45"/>
  </r>
  <r>
    <s v="ORD0598"/>
    <d v="2024-04-05T00:00:00"/>
    <s v="CUST0598"/>
    <s v="Rahul"/>
    <s v="Female"/>
    <n v="43"/>
    <s v="Hyderabad"/>
    <x v="0"/>
    <x v="2"/>
    <x v="3"/>
    <x v="2"/>
    <s v="Delivered"/>
    <n v="3"/>
    <n v="48587"/>
    <n v="145761"/>
    <n v="44871.09"/>
  </r>
  <r>
    <s v="ORD0599"/>
    <d v="2024-03-25T00:00:00"/>
    <s v="CUST0599"/>
    <s v="Rahul"/>
    <s v="Female"/>
    <n v="49"/>
    <s v="Hyderabad"/>
    <x v="0"/>
    <x v="1"/>
    <x v="4"/>
    <x v="0"/>
    <s v="Pending"/>
    <n v="2"/>
    <n v="7672"/>
    <n v="13042.4"/>
    <n v="2282.15"/>
  </r>
  <r>
    <s v="ORD0600"/>
    <d v="2024-01-28T00:00:00"/>
    <s v="CUST0600"/>
    <s v="Rahul"/>
    <s v="Male"/>
    <n v="19"/>
    <s v="Pune"/>
    <x v="0"/>
    <x v="0"/>
    <x v="1"/>
    <x v="3"/>
    <s v="Cancelled"/>
    <n v="5"/>
    <n v="31804"/>
    <n v="159020"/>
    <n v="43283.51"/>
  </r>
  <r>
    <s v="ORD0601"/>
    <d v="2024-06-10T00:00:00"/>
    <s v="CUST0601"/>
    <s v="Neha"/>
    <s v="Male"/>
    <n v="22"/>
    <s v="Pune"/>
    <x v="0"/>
    <x v="0"/>
    <x v="3"/>
    <x v="0"/>
    <s v="Returned"/>
    <n v="5"/>
    <n v="8182"/>
    <n v="36819"/>
    <n v="12939.88"/>
  </r>
  <r>
    <s v="ORD0602"/>
    <d v="2024-11-24T00:00:00"/>
    <s v="CUST0602"/>
    <s v="Aarav"/>
    <s v="Male"/>
    <n v="41"/>
    <s v="Delhi"/>
    <x v="1"/>
    <x v="1"/>
    <x v="2"/>
    <x v="1"/>
    <s v="Pending"/>
    <n v="2"/>
    <n v="31837"/>
    <n v="60490.3"/>
    <n v="19299.7"/>
  </r>
  <r>
    <s v="ORD0603"/>
    <d v="2024-09-23T00:00:00"/>
    <s v="CUST0603"/>
    <s v="Rahul"/>
    <s v="Female"/>
    <n v="20"/>
    <s v="Delhi"/>
    <x v="0"/>
    <x v="2"/>
    <x v="0"/>
    <x v="3"/>
    <s v="Pending"/>
    <n v="4"/>
    <n v="7817"/>
    <n v="31268"/>
    <n v="6806.07"/>
  </r>
  <r>
    <s v="ORD0604"/>
    <d v="2024-10-17T00:00:00"/>
    <s v="CUST0604"/>
    <s v="Rohan"/>
    <s v="Male"/>
    <n v="32"/>
    <s v="Delhi"/>
    <x v="0"/>
    <x v="1"/>
    <x v="0"/>
    <x v="0"/>
    <s v="Pending"/>
    <n v="1"/>
    <n v="6494"/>
    <n v="5195.2"/>
    <n v="1426.04"/>
  </r>
  <r>
    <s v="ORD0605"/>
    <d v="2024-10-21T00:00:00"/>
    <s v="CUST0605"/>
    <s v="Neha"/>
    <s v="Female"/>
    <n v="23"/>
    <s v="Pune"/>
    <x v="0"/>
    <x v="2"/>
    <x v="1"/>
    <x v="1"/>
    <s v="Pending"/>
    <n v="5"/>
    <n v="17832"/>
    <n v="89160"/>
    <n v="16682.87"/>
  </r>
  <r>
    <s v="ORD0606"/>
    <d v="2024-03-26T00:00:00"/>
    <s v="CUST0606"/>
    <s v="Rohan"/>
    <s v="Female"/>
    <n v="49"/>
    <s v="Chennai"/>
    <x v="0"/>
    <x v="1"/>
    <x v="4"/>
    <x v="3"/>
    <s v="Pending"/>
    <n v="1"/>
    <n v="18989"/>
    <n v="18989"/>
    <n v="6840.27"/>
  </r>
  <r>
    <s v="ORD0607"/>
    <d v="2024-07-18T00:00:00"/>
    <s v="CUST0607"/>
    <s v="Rohan"/>
    <s v="Female"/>
    <n v="59"/>
    <s v="Hyderabad"/>
    <x v="0"/>
    <x v="2"/>
    <x v="1"/>
    <x v="2"/>
    <s v="Pending"/>
    <n v="1"/>
    <n v="39079"/>
    <n v="39079"/>
    <n v="13286.1"/>
  </r>
  <r>
    <s v="ORD0608"/>
    <d v="2024-10-29T00:00:00"/>
    <s v="CUST0608"/>
    <s v="Rohan"/>
    <s v="Female"/>
    <n v="55"/>
    <s v="Hyderabad"/>
    <x v="0"/>
    <x v="1"/>
    <x v="0"/>
    <x v="2"/>
    <s v="Returned"/>
    <n v="3"/>
    <n v="10364"/>
    <n v="31092"/>
    <n v="8422.23"/>
  </r>
  <r>
    <s v="ORD0609"/>
    <d v="2024-07-20T00:00:00"/>
    <s v="CUST0609"/>
    <s v="Amit"/>
    <s v="Male"/>
    <n v="59"/>
    <s v="Delhi"/>
    <x v="0"/>
    <x v="2"/>
    <x v="3"/>
    <x v="2"/>
    <s v="Returned"/>
    <n v="4"/>
    <n v="3480"/>
    <n v="11832"/>
    <n v="3804.38"/>
  </r>
  <r>
    <s v="ORD0610"/>
    <d v="2024-09-12T00:00:00"/>
    <s v="CUST0610"/>
    <s v="Rahul"/>
    <s v="Male"/>
    <n v="60"/>
    <s v="Pune"/>
    <x v="0"/>
    <x v="1"/>
    <x v="2"/>
    <x v="1"/>
    <s v="Cancelled"/>
    <n v="4"/>
    <n v="24103"/>
    <n v="77129.600000000006"/>
    <n v="30228.26"/>
  </r>
  <r>
    <s v="ORD0611"/>
    <d v="2024-03-01T00:00:00"/>
    <s v="CUST0611"/>
    <s v="Pooja"/>
    <s v="Male"/>
    <n v="49"/>
    <s v="Pune"/>
    <x v="1"/>
    <x v="0"/>
    <x v="2"/>
    <x v="2"/>
    <s v="Delivered"/>
    <n v="2"/>
    <n v="35546"/>
    <n v="63982.8"/>
    <n v="10561.59"/>
  </r>
  <r>
    <s v="ORD0612"/>
    <d v="2024-11-12T00:00:00"/>
    <s v="CUST0612"/>
    <s v="Vikram"/>
    <s v="Female"/>
    <n v="60"/>
    <s v="Pune"/>
    <x v="0"/>
    <x v="0"/>
    <x v="3"/>
    <x v="3"/>
    <s v="Cancelled"/>
    <n v="2"/>
    <n v="45698"/>
    <n v="91396"/>
    <n v="25642.17"/>
  </r>
  <r>
    <s v="ORD0613"/>
    <d v="2024-01-09T00:00:00"/>
    <s v="CUST0613"/>
    <s v="Ananya"/>
    <s v="Female"/>
    <n v="52"/>
    <s v="Mumbai"/>
    <x v="0"/>
    <x v="2"/>
    <x v="3"/>
    <x v="4"/>
    <s v="Pending"/>
    <n v="3"/>
    <n v="19058"/>
    <n v="45739.199999999997"/>
    <n v="11011.18"/>
  </r>
  <r>
    <s v="ORD0614"/>
    <d v="2024-01-06T00:00:00"/>
    <s v="CUST0614"/>
    <s v="Rahul"/>
    <s v="Male"/>
    <n v="45"/>
    <s v="Pune"/>
    <x v="0"/>
    <x v="1"/>
    <x v="2"/>
    <x v="1"/>
    <s v="Delivered"/>
    <n v="4"/>
    <n v="22898"/>
    <n v="82432.800000000003"/>
    <n v="21177.61"/>
  </r>
  <r>
    <s v="ORD0615"/>
    <d v="2024-03-15T00:00:00"/>
    <s v="CUST0615"/>
    <s v="Rahul"/>
    <s v="Female"/>
    <n v="58"/>
    <s v="Chennai"/>
    <x v="1"/>
    <x v="0"/>
    <x v="1"/>
    <x v="3"/>
    <s v="Delivered"/>
    <n v="5"/>
    <n v="43821"/>
    <n v="208149.75"/>
    <n v="53539.73"/>
  </r>
  <r>
    <s v="ORD0616"/>
    <d v="2024-05-20T00:00:00"/>
    <s v="CUST0616"/>
    <s v="Pooja"/>
    <s v="Female"/>
    <n v="60"/>
    <s v="Delhi"/>
    <x v="0"/>
    <x v="2"/>
    <x v="0"/>
    <x v="2"/>
    <s v="Pending"/>
    <n v="4"/>
    <n v="15631"/>
    <n v="59397.8"/>
    <n v="10914.92"/>
  </r>
  <r>
    <s v="ORD0617"/>
    <d v="2024-04-12T00:00:00"/>
    <s v="CUST0617"/>
    <s v="Vikram"/>
    <s v="Female"/>
    <n v="44"/>
    <s v="Chennai"/>
    <x v="0"/>
    <x v="2"/>
    <x v="3"/>
    <x v="4"/>
    <s v="Pending"/>
    <n v="4"/>
    <n v="22257"/>
    <n v="80125.2"/>
    <n v="19285.189999999999"/>
  </r>
  <r>
    <s v="ORD0618"/>
    <d v="2024-11-24T00:00:00"/>
    <s v="CUST0618"/>
    <s v="Aarav"/>
    <s v="Male"/>
    <n v="32"/>
    <s v="Chennai"/>
    <x v="0"/>
    <x v="0"/>
    <x v="2"/>
    <x v="2"/>
    <s v="Cancelled"/>
    <n v="4"/>
    <n v="36279"/>
    <n v="137860.20000000001"/>
    <n v="51502.080000000002"/>
  </r>
  <r>
    <s v="ORD0619"/>
    <d v="2024-01-08T00:00:00"/>
    <s v="CUST0619"/>
    <s v="Aarav"/>
    <s v="Male"/>
    <n v="37"/>
    <s v="Chennai"/>
    <x v="0"/>
    <x v="2"/>
    <x v="1"/>
    <x v="1"/>
    <s v="Pending"/>
    <n v="2"/>
    <n v="47252"/>
    <n v="94504"/>
    <n v="29003.29"/>
  </r>
  <r>
    <s v="ORD0620"/>
    <d v="2024-09-02T00:00:00"/>
    <s v="CUST0620"/>
    <s v="Priya"/>
    <s v="Male"/>
    <n v="19"/>
    <s v="Pune"/>
    <x v="0"/>
    <x v="1"/>
    <x v="3"/>
    <x v="3"/>
    <s v="Pending"/>
    <n v="1"/>
    <n v="7716"/>
    <n v="6944.4"/>
    <n v="2459.65"/>
  </r>
  <r>
    <s v="ORD0621"/>
    <d v="2024-11-09T00:00:00"/>
    <s v="CUST0621"/>
    <s v="Amit"/>
    <s v="Male"/>
    <n v="52"/>
    <s v="Bangalore"/>
    <x v="0"/>
    <x v="1"/>
    <x v="4"/>
    <x v="3"/>
    <s v="Delivered"/>
    <n v="5"/>
    <n v="32560"/>
    <n v="130240"/>
    <n v="31115.91"/>
  </r>
  <r>
    <s v="ORD0622"/>
    <d v="2024-01-27T00:00:00"/>
    <s v="CUST0622"/>
    <s v="Neha"/>
    <s v="Female"/>
    <n v="28"/>
    <s v="Chennai"/>
    <x v="0"/>
    <x v="0"/>
    <x v="3"/>
    <x v="3"/>
    <s v="Returned"/>
    <n v="5"/>
    <n v="37949"/>
    <n v="170770.5"/>
    <n v="29050.2"/>
  </r>
  <r>
    <s v="ORD0623"/>
    <d v="2024-11-09T00:00:00"/>
    <s v="CUST0623"/>
    <s v="Neha"/>
    <s v="Male"/>
    <n v="45"/>
    <s v="Mumbai"/>
    <x v="1"/>
    <x v="2"/>
    <x v="2"/>
    <x v="4"/>
    <s v="Delivered"/>
    <n v="2"/>
    <n v="28061"/>
    <n v="50509.8"/>
    <n v="19326.2"/>
  </r>
  <r>
    <s v="ORD0624"/>
    <d v="2024-05-08T00:00:00"/>
    <s v="CUST0624"/>
    <s v="Pooja"/>
    <s v="Male"/>
    <n v="36"/>
    <s v="Chennai"/>
    <x v="1"/>
    <x v="2"/>
    <x v="1"/>
    <x v="3"/>
    <s v="Pending"/>
    <n v="3"/>
    <n v="35994"/>
    <n v="86385.600000000006"/>
    <n v="19699.310000000001"/>
  </r>
  <r>
    <s v="ORD0625"/>
    <d v="2024-02-09T00:00:00"/>
    <s v="CUST0625"/>
    <s v="Neha"/>
    <s v="Male"/>
    <n v="30"/>
    <s v="Mumbai"/>
    <x v="2"/>
    <x v="2"/>
    <x v="1"/>
    <x v="4"/>
    <s v="Delivered"/>
    <n v="3"/>
    <n v="47709"/>
    <n v="143127"/>
    <n v="34113.01"/>
  </r>
  <r>
    <s v="ORD0626"/>
    <d v="2024-03-17T00:00:00"/>
    <s v="CUST0626"/>
    <s v="Rohan"/>
    <s v="Female"/>
    <n v="21"/>
    <s v="Mumbai"/>
    <x v="1"/>
    <x v="2"/>
    <x v="2"/>
    <x v="4"/>
    <s v="Returned"/>
    <n v="4"/>
    <n v="40581"/>
    <n v="146091.6"/>
    <n v="43985.43"/>
  </r>
  <r>
    <s v="ORD0627"/>
    <d v="2024-01-20T00:00:00"/>
    <s v="CUST0627"/>
    <s v="Pooja"/>
    <s v="Female"/>
    <n v="46"/>
    <s v="Hyderabad"/>
    <x v="0"/>
    <x v="1"/>
    <x v="0"/>
    <x v="0"/>
    <s v="Cancelled"/>
    <n v="4"/>
    <n v="10828"/>
    <n v="34649.599999999999"/>
    <n v="13367.62"/>
  </r>
  <r>
    <s v="ORD0628"/>
    <d v="2024-03-23T00:00:00"/>
    <s v="CUST0628"/>
    <s v="Amit"/>
    <s v="Female"/>
    <n v="21"/>
    <s v="Bangalore"/>
    <x v="0"/>
    <x v="2"/>
    <x v="4"/>
    <x v="0"/>
    <s v="Delivered"/>
    <n v="1"/>
    <n v="45761"/>
    <n v="43472.95"/>
    <n v="16134.88"/>
  </r>
  <r>
    <s v="ORD0629"/>
    <d v="2024-10-22T00:00:00"/>
    <s v="CUST0629"/>
    <s v="Rohan"/>
    <s v="Female"/>
    <n v="49"/>
    <s v="Hyderabad"/>
    <x v="0"/>
    <x v="1"/>
    <x v="3"/>
    <x v="3"/>
    <s v="Cancelled"/>
    <n v="5"/>
    <n v="44723"/>
    <n v="212434.25"/>
    <n v="72536.289999999994"/>
  </r>
  <r>
    <s v="ORD0630"/>
    <d v="2024-04-04T00:00:00"/>
    <s v="CUST0630"/>
    <s v="Ananya"/>
    <s v="Female"/>
    <n v="43"/>
    <s v="Delhi"/>
    <x v="0"/>
    <x v="2"/>
    <x v="2"/>
    <x v="4"/>
    <s v="Delivered"/>
    <n v="1"/>
    <n v="39278"/>
    <n v="39278"/>
    <n v="15567.72"/>
  </r>
  <r>
    <s v="ORD0631"/>
    <d v="2024-07-23T00:00:00"/>
    <s v="CUST0631"/>
    <s v="Ananya"/>
    <s v="Female"/>
    <n v="42"/>
    <s v="Pune"/>
    <x v="1"/>
    <x v="0"/>
    <x v="2"/>
    <x v="1"/>
    <s v="Returned"/>
    <n v="5"/>
    <n v="46311"/>
    <n v="219977.25"/>
    <n v="37552.99"/>
  </r>
  <r>
    <s v="ORD0632"/>
    <d v="2024-01-08T00:00:00"/>
    <s v="CUST0632"/>
    <s v="Pooja"/>
    <s v="Male"/>
    <n v="36"/>
    <s v="Hyderabad"/>
    <x v="0"/>
    <x v="1"/>
    <x v="4"/>
    <x v="1"/>
    <s v="Pending"/>
    <n v="3"/>
    <n v="5774"/>
    <n v="13857.6"/>
    <n v="2251.64"/>
  </r>
  <r>
    <s v="ORD0633"/>
    <d v="2024-04-15T00:00:00"/>
    <s v="CUST0633"/>
    <s v="Pooja"/>
    <s v="Male"/>
    <n v="21"/>
    <s v="Bangalore"/>
    <x v="0"/>
    <x v="1"/>
    <x v="3"/>
    <x v="1"/>
    <s v="Cancelled"/>
    <n v="5"/>
    <n v="37756"/>
    <n v="169902"/>
    <n v="47239.29"/>
  </r>
  <r>
    <s v="ORD0634"/>
    <d v="2024-12-28T00:00:00"/>
    <s v="CUST0634"/>
    <s v="Rohan"/>
    <s v="Female"/>
    <n v="51"/>
    <s v="Pune"/>
    <x v="0"/>
    <x v="0"/>
    <x v="1"/>
    <x v="2"/>
    <s v="Cancelled"/>
    <n v="1"/>
    <n v="10370"/>
    <n v="10370"/>
    <n v="2266.7600000000002"/>
  </r>
  <r>
    <s v="ORD0635"/>
    <d v="2024-08-24T00:00:00"/>
    <s v="CUST0635"/>
    <s v="Neha"/>
    <s v="Female"/>
    <n v="35"/>
    <s v="Hyderabad"/>
    <x v="0"/>
    <x v="1"/>
    <x v="0"/>
    <x v="1"/>
    <s v="Delivered"/>
    <n v="5"/>
    <n v="4516"/>
    <n v="18064"/>
    <n v="6696.36"/>
  </r>
  <r>
    <s v="ORD0636"/>
    <d v="2024-01-06T00:00:00"/>
    <s v="CUST0636"/>
    <s v="Priya"/>
    <s v="Female"/>
    <n v="55"/>
    <s v="Delhi"/>
    <x v="0"/>
    <x v="1"/>
    <x v="2"/>
    <x v="3"/>
    <s v="Pending"/>
    <n v="4"/>
    <n v="38078"/>
    <n v="137080.79999999999"/>
    <n v="53880.69"/>
  </r>
  <r>
    <s v="ORD0637"/>
    <d v="2024-12-14T00:00:00"/>
    <s v="CUST0637"/>
    <s v="Rohan"/>
    <s v="Female"/>
    <n v="47"/>
    <s v="Chennai"/>
    <x v="0"/>
    <x v="2"/>
    <x v="0"/>
    <x v="3"/>
    <s v="Pending"/>
    <n v="3"/>
    <n v="44100"/>
    <n v="125685"/>
    <n v="24917.45"/>
  </r>
  <r>
    <s v="ORD0638"/>
    <d v="2024-01-06T00:00:00"/>
    <s v="CUST0638"/>
    <s v="Aarav"/>
    <s v="Female"/>
    <n v="57"/>
    <s v="Hyderabad"/>
    <x v="2"/>
    <x v="2"/>
    <x v="4"/>
    <x v="1"/>
    <s v="Pending"/>
    <n v="4"/>
    <n v="27246"/>
    <n v="92636.4"/>
    <n v="16851.48"/>
  </r>
  <r>
    <s v="ORD0639"/>
    <d v="2024-04-12T00:00:00"/>
    <s v="CUST0639"/>
    <s v="Vikram"/>
    <s v="Male"/>
    <n v="31"/>
    <s v="Bangalore"/>
    <x v="0"/>
    <x v="1"/>
    <x v="3"/>
    <x v="2"/>
    <s v="Delivered"/>
    <n v="2"/>
    <n v="47499"/>
    <n v="94998"/>
    <n v="28924.639999999999"/>
  </r>
  <r>
    <s v="ORD0640"/>
    <d v="2024-05-07T00:00:00"/>
    <s v="CUST0640"/>
    <s v="Sneha"/>
    <s v="Male"/>
    <n v="31"/>
    <s v="Hyderabad"/>
    <x v="0"/>
    <x v="1"/>
    <x v="2"/>
    <x v="0"/>
    <s v="Pending"/>
    <n v="2"/>
    <n v="25590"/>
    <n v="46062"/>
    <n v="9795.34"/>
  </r>
  <r>
    <s v="ORD0641"/>
    <d v="2024-07-20T00:00:00"/>
    <s v="CUST0641"/>
    <s v="Aarav"/>
    <s v="Male"/>
    <n v="41"/>
    <s v="Delhi"/>
    <x v="2"/>
    <x v="0"/>
    <x v="4"/>
    <x v="1"/>
    <s v="Cancelled"/>
    <n v="4"/>
    <n v="23419"/>
    <n v="88992.2"/>
    <n v="23289.88"/>
  </r>
  <r>
    <s v="ORD0642"/>
    <d v="2024-06-17T00:00:00"/>
    <s v="CUST0642"/>
    <s v="Aarav"/>
    <s v="Female"/>
    <n v="47"/>
    <s v="Chennai"/>
    <x v="0"/>
    <x v="1"/>
    <x v="2"/>
    <x v="3"/>
    <s v="Delivered"/>
    <n v="5"/>
    <n v="33810"/>
    <n v="152145"/>
    <n v="58646.05"/>
  </r>
  <r>
    <s v="ORD0643"/>
    <d v="2024-01-04T00:00:00"/>
    <s v="CUST0643"/>
    <s v="Priya"/>
    <s v="Male"/>
    <n v="52"/>
    <s v="Chennai"/>
    <x v="0"/>
    <x v="1"/>
    <x v="1"/>
    <x v="3"/>
    <s v="Pending"/>
    <n v="5"/>
    <n v="16004"/>
    <n v="76019"/>
    <n v="25702.41"/>
  </r>
  <r>
    <s v="ORD0644"/>
    <d v="2024-09-02T00:00:00"/>
    <s v="CUST0644"/>
    <s v="Aarav"/>
    <s v="Female"/>
    <n v="55"/>
    <s v="Hyderabad"/>
    <x v="1"/>
    <x v="2"/>
    <x v="2"/>
    <x v="4"/>
    <s v="Returned"/>
    <n v="4"/>
    <n v="33170"/>
    <n v="112778"/>
    <n v="25926.16"/>
  </r>
  <r>
    <s v="ORD0645"/>
    <d v="2024-09-19T00:00:00"/>
    <s v="CUST0645"/>
    <s v="Sneha"/>
    <s v="Male"/>
    <n v="32"/>
    <s v="Hyderabad"/>
    <x v="2"/>
    <x v="1"/>
    <x v="0"/>
    <x v="4"/>
    <s v="Delivered"/>
    <n v="5"/>
    <n v="25240"/>
    <n v="126200"/>
    <n v="38545.11"/>
  </r>
  <r>
    <s v="ORD0646"/>
    <d v="2024-07-01T00:00:00"/>
    <s v="CUST0646"/>
    <s v="Aarav"/>
    <s v="Female"/>
    <n v="44"/>
    <s v="Mumbai"/>
    <x v="2"/>
    <x v="1"/>
    <x v="0"/>
    <x v="2"/>
    <s v="Returned"/>
    <n v="5"/>
    <n v="5781"/>
    <n v="28905"/>
    <n v="8981.7999999999993"/>
  </r>
  <r>
    <s v="ORD0647"/>
    <d v="2024-07-13T00:00:00"/>
    <s v="CUST0647"/>
    <s v="Amit"/>
    <s v="Male"/>
    <n v="35"/>
    <s v="Bangalore"/>
    <x v="1"/>
    <x v="2"/>
    <x v="4"/>
    <x v="4"/>
    <s v="Cancelled"/>
    <n v="4"/>
    <n v="1333"/>
    <n v="4798.8"/>
    <n v="1458.9"/>
  </r>
  <r>
    <s v="ORD0648"/>
    <d v="2024-09-18T00:00:00"/>
    <s v="CUST0648"/>
    <s v="Neha"/>
    <s v="Female"/>
    <n v="55"/>
    <s v="Mumbai"/>
    <x v="2"/>
    <x v="0"/>
    <x v="4"/>
    <x v="2"/>
    <s v="Cancelled"/>
    <n v="3"/>
    <n v="15553"/>
    <n v="39660.15"/>
    <n v="12187.19"/>
  </r>
  <r>
    <s v="ORD0649"/>
    <d v="2024-07-10T00:00:00"/>
    <s v="CUST0649"/>
    <s v="Sneha"/>
    <s v="Female"/>
    <n v="57"/>
    <s v="Delhi"/>
    <x v="0"/>
    <x v="2"/>
    <x v="2"/>
    <x v="4"/>
    <s v="Cancelled"/>
    <n v="5"/>
    <n v="13473"/>
    <n v="60628.5"/>
    <n v="23783.439999999999"/>
  </r>
  <r>
    <s v="ORD0650"/>
    <d v="2024-03-13T00:00:00"/>
    <s v="CUST0650"/>
    <s v="Rohan"/>
    <s v="Female"/>
    <n v="59"/>
    <s v="Mumbai"/>
    <x v="2"/>
    <x v="2"/>
    <x v="0"/>
    <x v="0"/>
    <s v="Pending"/>
    <n v="5"/>
    <n v="16521"/>
    <n v="82605"/>
    <n v="31792.959999999999"/>
  </r>
  <r>
    <s v="ORD0651"/>
    <d v="2024-04-26T00:00:00"/>
    <s v="CUST0651"/>
    <s v="Ananya"/>
    <s v="Female"/>
    <n v="26"/>
    <s v="Hyderabad"/>
    <x v="1"/>
    <x v="0"/>
    <x v="1"/>
    <x v="0"/>
    <s v="Returned"/>
    <n v="4"/>
    <n v="27175"/>
    <n v="97830"/>
    <n v="27654.76"/>
  </r>
  <r>
    <s v="ORD0652"/>
    <d v="2024-08-12T00:00:00"/>
    <s v="CUST0652"/>
    <s v="Sneha"/>
    <s v="Male"/>
    <n v="21"/>
    <s v="Bangalore"/>
    <x v="2"/>
    <x v="2"/>
    <x v="4"/>
    <x v="0"/>
    <s v="Pending"/>
    <n v="2"/>
    <n v="47220"/>
    <n v="75552"/>
    <n v="20444.05"/>
  </r>
  <r>
    <s v="ORD0653"/>
    <d v="2024-08-30T00:00:00"/>
    <s v="CUST0653"/>
    <s v="Pooja"/>
    <s v="Female"/>
    <n v="52"/>
    <s v="Hyderabad"/>
    <x v="2"/>
    <x v="2"/>
    <x v="4"/>
    <x v="0"/>
    <s v="Returned"/>
    <n v="2"/>
    <n v="14175"/>
    <n v="22680"/>
    <n v="5988.61"/>
  </r>
  <r>
    <s v="ORD0654"/>
    <d v="2024-09-20T00:00:00"/>
    <s v="CUST0654"/>
    <s v="Ananya"/>
    <s v="Male"/>
    <n v="45"/>
    <s v="Delhi"/>
    <x v="0"/>
    <x v="0"/>
    <x v="2"/>
    <x v="0"/>
    <s v="Delivered"/>
    <n v="3"/>
    <n v="17430"/>
    <n v="52290"/>
    <n v="8631.1"/>
  </r>
  <r>
    <s v="ORD0655"/>
    <d v="2024-06-13T00:00:00"/>
    <s v="CUST0655"/>
    <s v="Vikram"/>
    <s v="Male"/>
    <n v="56"/>
    <s v="Chennai"/>
    <x v="2"/>
    <x v="0"/>
    <x v="4"/>
    <x v="2"/>
    <s v="Delivered"/>
    <n v="1"/>
    <n v="9748"/>
    <n v="7798.4"/>
    <n v="2739.84"/>
  </r>
  <r>
    <s v="ORD0656"/>
    <d v="2024-03-23T00:00:00"/>
    <s v="CUST0656"/>
    <s v="Sneha"/>
    <s v="Male"/>
    <n v="56"/>
    <s v="Bangalore"/>
    <x v="0"/>
    <x v="2"/>
    <x v="0"/>
    <x v="3"/>
    <s v="Cancelled"/>
    <n v="4"/>
    <n v="28980"/>
    <n v="98532"/>
    <n v="25883.759999999998"/>
  </r>
  <r>
    <s v="ORD0657"/>
    <d v="2024-11-20T00:00:00"/>
    <s v="CUST0657"/>
    <s v="Neha"/>
    <s v="Female"/>
    <n v="46"/>
    <s v="Pune"/>
    <x v="0"/>
    <x v="1"/>
    <x v="4"/>
    <x v="1"/>
    <s v="Delivered"/>
    <n v="4"/>
    <n v="40008"/>
    <n v="152030.39999999999"/>
    <n v="41192.980000000003"/>
  </r>
  <r>
    <s v="ORD0658"/>
    <d v="2024-03-01T00:00:00"/>
    <s v="CUST0658"/>
    <s v="Priya"/>
    <s v="Male"/>
    <n v="29"/>
    <s v="Delhi"/>
    <x v="0"/>
    <x v="2"/>
    <x v="0"/>
    <x v="1"/>
    <s v="Delivered"/>
    <n v="4"/>
    <n v="40917"/>
    <n v="163668"/>
    <n v="43310.07"/>
  </r>
  <r>
    <s v="ORD0659"/>
    <d v="2024-06-29T00:00:00"/>
    <s v="CUST0659"/>
    <s v="Aarav"/>
    <s v="Female"/>
    <n v="37"/>
    <s v="Hyderabad"/>
    <x v="0"/>
    <x v="2"/>
    <x v="3"/>
    <x v="4"/>
    <s v="Pending"/>
    <n v="5"/>
    <n v="28917"/>
    <n v="137355.75"/>
    <n v="32489.200000000001"/>
  </r>
  <r>
    <s v="ORD0660"/>
    <d v="2024-02-22T00:00:00"/>
    <s v="CUST0660"/>
    <s v="Priya"/>
    <s v="Male"/>
    <n v="20"/>
    <s v="Hyderabad"/>
    <x v="0"/>
    <x v="1"/>
    <x v="0"/>
    <x v="3"/>
    <s v="Pending"/>
    <n v="4"/>
    <n v="15786"/>
    <n v="63144"/>
    <n v="18224.439999999999"/>
  </r>
  <r>
    <s v="ORD0661"/>
    <d v="2024-12-26T00:00:00"/>
    <s v="CUST0661"/>
    <s v="Rohan"/>
    <s v="Female"/>
    <n v="28"/>
    <s v="Delhi"/>
    <x v="2"/>
    <x v="2"/>
    <x v="2"/>
    <x v="0"/>
    <s v="Delivered"/>
    <n v="1"/>
    <n v="18212"/>
    <n v="14569.6"/>
    <n v="3459.2"/>
  </r>
  <r>
    <s v="ORD0662"/>
    <d v="2024-06-04T00:00:00"/>
    <s v="CUST0662"/>
    <s v="Pooja"/>
    <s v="Male"/>
    <n v="52"/>
    <s v="Mumbai"/>
    <x v="1"/>
    <x v="0"/>
    <x v="1"/>
    <x v="0"/>
    <s v="Cancelled"/>
    <n v="1"/>
    <n v="8515"/>
    <n v="6812"/>
    <n v="2541.75"/>
  </r>
  <r>
    <s v="ORD0663"/>
    <d v="2024-09-17T00:00:00"/>
    <s v="CUST0663"/>
    <s v="Aarav"/>
    <s v="Female"/>
    <n v="44"/>
    <s v="Chennai"/>
    <x v="2"/>
    <x v="1"/>
    <x v="3"/>
    <x v="3"/>
    <s v="Returned"/>
    <n v="4"/>
    <n v="46111"/>
    <n v="147555.20000000001"/>
    <n v="54205.84"/>
  </r>
  <r>
    <s v="ORD0664"/>
    <d v="2024-11-12T00:00:00"/>
    <s v="CUST0664"/>
    <s v="Priya"/>
    <s v="Male"/>
    <n v="34"/>
    <s v="Chennai"/>
    <x v="2"/>
    <x v="0"/>
    <x v="2"/>
    <x v="2"/>
    <s v="Delivered"/>
    <n v="1"/>
    <n v="19906"/>
    <n v="15924.8"/>
    <n v="4907.24"/>
  </r>
  <r>
    <s v="ORD0665"/>
    <d v="2024-06-03T00:00:00"/>
    <s v="CUST0665"/>
    <s v="Rohan"/>
    <s v="Male"/>
    <n v="22"/>
    <s v="Hyderabad"/>
    <x v="1"/>
    <x v="0"/>
    <x v="2"/>
    <x v="1"/>
    <s v="Returned"/>
    <n v="1"/>
    <n v="18828"/>
    <n v="16945.2"/>
    <n v="5397.35"/>
  </r>
  <r>
    <s v="ORD0666"/>
    <d v="2024-06-16T00:00:00"/>
    <s v="CUST0666"/>
    <s v="Amit"/>
    <s v="Male"/>
    <n v="58"/>
    <s v="Delhi"/>
    <x v="1"/>
    <x v="2"/>
    <x v="1"/>
    <x v="1"/>
    <s v="Delivered"/>
    <n v="5"/>
    <n v="22243"/>
    <n v="100093.5"/>
    <n v="31222.27"/>
  </r>
  <r>
    <s v="ORD0667"/>
    <d v="2024-05-25T00:00:00"/>
    <s v="CUST0667"/>
    <s v="Vikram"/>
    <s v="Male"/>
    <n v="53"/>
    <s v="Pune"/>
    <x v="0"/>
    <x v="0"/>
    <x v="4"/>
    <x v="2"/>
    <s v="Pending"/>
    <n v="1"/>
    <n v="3580"/>
    <n v="3580"/>
    <n v="663.58"/>
  </r>
  <r>
    <s v="ORD0668"/>
    <d v="2024-06-12T00:00:00"/>
    <s v="CUST0668"/>
    <s v="Amit"/>
    <s v="Male"/>
    <n v="58"/>
    <s v="Hyderabad"/>
    <x v="2"/>
    <x v="0"/>
    <x v="3"/>
    <x v="4"/>
    <s v="Delivered"/>
    <n v="4"/>
    <n v="39258"/>
    <n v="125625.60000000001"/>
    <n v="33004.910000000003"/>
  </r>
  <r>
    <s v="ORD0669"/>
    <d v="2024-11-11T00:00:00"/>
    <s v="CUST0669"/>
    <s v="Vikram"/>
    <s v="Female"/>
    <n v="53"/>
    <s v="Hyderabad"/>
    <x v="0"/>
    <x v="1"/>
    <x v="4"/>
    <x v="1"/>
    <s v="Pending"/>
    <n v="1"/>
    <n v="19086"/>
    <n v="16223.1"/>
    <n v="3471.64"/>
  </r>
  <r>
    <s v="ORD0670"/>
    <d v="2024-10-01T00:00:00"/>
    <s v="CUST0670"/>
    <s v="Priya"/>
    <s v="Male"/>
    <n v="37"/>
    <s v="Chennai"/>
    <x v="0"/>
    <x v="1"/>
    <x v="4"/>
    <x v="1"/>
    <s v="Delivered"/>
    <n v="5"/>
    <n v="48182"/>
    <n v="228864.5"/>
    <n v="74871.289999999994"/>
  </r>
  <r>
    <s v="ORD0671"/>
    <d v="2024-06-11T00:00:00"/>
    <s v="CUST0671"/>
    <s v="Rohan"/>
    <s v="Male"/>
    <n v="57"/>
    <s v="Pune"/>
    <x v="0"/>
    <x v="0"/>
    <x v="1"/>
    <x v="0"/>
    <s v="Delivered"/>
    <n v="5"/>
    <n v="10026"/>
    <n v="47623.5"/>
    <n v="12251.68"/>
  </r>
  <r>
    <s v="ORD0672"/>
    <d v="2024-03-14T00:00:00"/>
    <s v="CUST0672"/>
    <s v="Aarav"/>
    <s v="Male"/>
    <n v="49"/>
    <s v="Bangalore"/>
    <x v="0"/>
    <x v="1"/>
    <x v="4"/>
    <x v="1"/>
    <s v="Cancelled"/>
    <n v="3"/>
    <n v="46132"/>
    <n v="110716.8"/>
    <n v="34265.32"/>
  </r>
  <r>
    <s v="ORD0673"/>
    <d v="2024-09-22T00:00:00"/>
    <s v="CUST0673"/>
    <s v="Sneha"/>
    <s v="Male"/>
    <n v="47"/>
    <s v="Mumbai"/>
    <x v="0"/>
    <x v="2"/>
    <x v="0"/>
    <x v="1"/>
    <s v="Delivered"/>
    <n v="5"/>
    <n v="3838"/>
    <n v="18230.5"/>
    <n v="3728.47"/>
  </r>
  <r>
    <s v="ORD0674"/>
    <d v="2024-07-06T00:00:00"/>
    <s v="CUST0674"/>
    <s v="Ananya"/>
    <s v="Male"/>
    <n v="41"/>
    <s v="Pune"/>
    <x v="2"/>
    <x v="2"/>
    <x v="4"/>
    <x v="3"/>
    <s v="Returned"/>
    <n v="1"/>
    <n v="16375"/>
    <n v="15556.25"/>
    <n v="6221.41"/>
  </r>
  <r>
    <s v="ORD0675"/>
    <d v="2024-11-26T00:00:00"/>
    <s v="CUST0675"/>
    <s v="Amit"/>
    <s v="Male"/>
    <n v="40"/>
    <s v="Delhi"/>
    <x v="0"/>
    <x v="0"/>
    <x v="3"/>
    <x v="3"/>
    <s v="Returned"/>
    <n v="4"/>
    <n v="1721"/>
    <n v="6195.6"/>
    <n v="1142.0899999999999"/>
  </r>
  <r>
    <s v="ORD0676"/>
    <d v="2024-04-12T00:00:00"/>
    <s v="CUST0676"/>
    <s v="Rohan"/>
    <s v="Female"/>
    <n v="39"/>
    <s v="Mumbai"/>
    <x v="0"/>
    <x v="1"/>
    <x v="2"/>
    <x v="2"/>
    <s v="Cancelled"/>
    <n v="5"/>
    <n v="43250"/>
    <n v="216250"/>
    <n v="66176.58"/>
  </r>
  <r>
    <s v="ORD0677"/>
    <d v="2024-09-15T00:00:00"/>
    <s v="CUST0677"/>
    <s v="Neha"/>
    <s v="Male"/>
    <n v="21"/>
    <s v="Mumbai"/>
    <x v="0"/>
    <x v="1"/>
    <x v="2"/>
    <x v="0"/>
    <s v="Pending"/>
    <n v="5"/>
    <n v="15265"/>
    <n v="68692.5"/>
    <n v="23358.57"/>
  </r>
  <r>
    <s v="ORD0678"/>
    <d v="2024-07-29T00:00:00"/>
    <s v="CUST0678"/>
    <s v="Ananya"/>
    <s v="Male"/>
    <n v="28"/>
    <s v="Hyderabad"/>
    <x v="1"/>
    <x v="1"/>
    <x v="4"/>
    <x v="1"/>
    <s v="Delivered"/>
    <n v="3"/>
    <n v="35202"/>
    <n v="100325.7"/>
    <n v="16336.96"/>
  </r>
  <r>
    <s v="ORD0679"/>
    <d v="2024-09-26T00:00:00"/>
    <s v="CUST0679"/>
    <s v="Priya"/>
    <s v="Female"/>
    <n v="38"/>
    <s v="Delhi"/>
    <x v="0"/>
    <x v="2"/>
    <x v="0"/>
    <x v="4"/>
    <s v="Returned"/>
    <n v="2"/>
    <n v="11523"/>
    <n v="20741.400000000001"/>
    <n v="7606.65"/>
  </r>
  <r>
    <s v="ORD0680"/>
    <d v="2024-01-19T00:00:00"/>
    <s v="CUST0680"/>
    <s v="Pooja"/>
    <s v="Male"/>
    <n v="58"/>
    <s v="Pune"/>
    <x v="2"/>
    <x v="1"/>
    <x v="1"/>
    <x v="0"/>
    <s v="Delivered"/>
    <n v="3"/>
    <n v="7212"/>
    <n v="19472.400000000001"/>
    <n v="3499.93"/>
  </r>
  <r>
    <s v="ORD0681"/>
    <d v="2024-11-28T00:00:00"/>
    <s v="CUST0681"/>
    <s v="Amit"/>
    <s v="Male"/>
    <n v="39"/>
    <s v="Mumbai"/>
    <x v="1"/>
    <x v="2"/>
    <x v="4"/>
    <x v="2"/>
    <s v="Pending"/>
    <n v="5"/>
    <n v="3764"/>
    <n v="15997"/>
    <n v="2484.9299999999998"/>
  </r>
  <r>
    <s v="ORD0682"/>
    <d v="2024-05-15T00:00:00"/>
    <s v="CUST0682"/>
    <s v="Rohan"/>
    <s v="Male"/>
    <n v="57"/>
    <s v="Mumbai"/>
    <x v="2"/>
    <x v="0"/>
    <x v="3"/>
    <x v="1"/>
    <s v="Delivered"/>
    <n v="3"/>
    <n v="21336"/>
    <n v="57607.199999999997"/>
    <n v="14709.45"/>
  </r>
  <r>
    <s v="ORD0683"/>
    <d v="2024-01-02T00:00:00"/>
    <s v="CUST0683"/>
    <s v="Neha"/>
    <s v="Female"/>
    <n v="28"/>
    <s v="Bangalore"/>
    <x v="0"/>
    <x v="2"/>
    <x v="1"/>
    <x v="3"/>
    <s v="Returned"/>
    <n v="3"/>
    <n v="40384"/>
    <n v="102979.2"/>
    <n v="17863.560000000001"/>
  </r>
  <r>
    <s v="ORD0684"/>
    <d v="2024-07-17T00:00:00"/>
    <s v="CUST0684"/>
    <s v="Neha"/>
    <s v="Female"/>
    <n v="37"/>
    <s v="Pune"/>
    <x v="0"/>
    <x v="1"/>
    <x v="4"/>
    <x v="1"/>
    <s v="Delivered"/>
    <n v="4"/>
    <n v="42921"/>
    <n v="145931.4"/>
    <n v="30477.63"/>
  </r>
  <r>
    <s v="ORD0685"/>
    <d v="2024-09-03T00:00:00"/>
    <s v="CUST0685"/>
    <s v="Rahul"/>
    <s v="Male"/>
    <n v="54"/>
    <s v="Bangalore"/>
    <x v="1"/>
    <x v="2"/>
    <x v="2"/>
    <x v="3"/>
    <s v="Cancelled"/>
    <n v="5"/>
    <n v="46438"/>
    <n v="232190"/>
    <n v="48673.83"/>
  </r>
  <r>
    <s v="ORD0686"/>
    <d v="2024-12-24T00:00:00"/>
    <s v="CUST0686"/>
    <s v="Pooja"/>
    <s v="Male"/>
    <n v="27"/>
    <s v="Hyderabad"/>
    <x v="0"/>
    <x v="2"/>
    <x v="1"/>
    <x v="4"/>
    <s v="Returned"/>
    <n v="5"/>
    <n v="10121"/>
    <n v="50605"/>
    <n v="11491.87"/>
  </r>
  <r>
    <s v="ORD0687"/>
    <d v="2024-01-20T00:00:00"/>
    <s v="CUST0687"/>
    <s v="Vikram"/>
    <s v="Male"/>
    <n v="47"/>
    <s v="Mumbai"/>
    <x v="0"/>
    <x v="0"/>
    <x v="0"/>
    <x v="1"/>
    <s v="Pending"/>
    <n v="3"/>
    <n v="1366"/>
    <n v="3483.3"/>
    <n v="891.2"/>
  </r>
  <r>
    <s v="ORD0688"/>
    <d v="2024-07-11T00:00:00"/>
    <s v="CUST0688"/>
    <s v="Priya"/>
    <s v="Female"/>
    <n v="19"/>
    <s v="Delhi"/>
    <x v="0"/>
    <x v="2"/>
    <x v="2"/>
    <x v="3"/>
    <s v="Delivered"/>
    <n v="3"/>
    <n v="26659"/>
    <n v="71979.3"/>
    <n v="20546.98"/>
  </r>
  <r>
    <s v="ORD0689"/>
    <d v="2024-09-03T00:00:00"/>
    <s v="CUST0689"/>
    <s v="Rahul"/>
    <s v="Female"/>
    <n v="43"/>
    <s v="Mumbai"/>
    <x v="0"/>
    <x v="2"/>
    <x v="4"/>
    <x v="0"/>
    <s v="Cancelled"/>
    <n v="3"/>
    <n v="6894"/>
    <n v="18613.8"/>
    <n v="4918.54"/>
  </r>
  <r>
    <s v="ORD0690"/>
    <d v="2024-07-20T00:00:00"/>
    <s v="CUST0690"/>
    <s v="Amit"/>
    <s v="Female"/>
    <n v="23"/>
    <s v="Mumbai"/>
    <x v="0"/>
    <x v="2"/>
    <x v="2"/>
    <x v="2"/>
    <s v="Pending"/>
    <n v="4"/>
    <n v="39165"/>
    <n v="125328"/>
    <n v="44220.98"/>
  </r>
  <r>
    <s v="ORD0691"/>
    <d v="2024-12-22T00:00:00"/>
    <s v="CUST0691"/>
    <s v="Sneha"/>
    <s v="Female"/>
    <n v="53"/>
    <s v="Bangalore"/>
    <x v="0"/>
    <x v="1"/>
    <x v="2"/>
    <x v="0"/>
    <s v="Returned"/>
    <n v="1"/>
    <n v="15085"/>
    <n v="12822.25"/>
    <n v="3050.07"/>
  </r>
  <r>
    <s v="ORD0692"/>
    <d v="2024-01-13T00:00:00"/>
    <s v="CUST0692"/>
    <s v="Aarav"/>
    <s v="Female"/>
    <n v="25"/>
    <s v="Chennai"/>
    <x v="0"/>
    <x v="2"/>
    <x v="2"/>
    <x v="2"/>
    <s v="Cancelled"/>
    <n v="4"/>
    <n v="38173"/>
    <n v="145057.4"/>
    <n v="55742.12"/>
  </r>
  <r>
    <s v="ORD0693"/>
    <d v="2024-07-23T00:00:00"/>
    <s v="CUST0693"/>
    <s v="Priya"/>
    <s v="Female"/>
    <n v="56"/>
    <s v="Chennai"/>
    <x v="2"/>
    <x v="1"/>
    <x v="3"/>
    <x v="0"/>
    <s v="Cancelled"/>
    <n v="5"/>
    <n v="35027"/>
    <n v="175135"/>
    <n v="46689.89"/>
  </r>
  <r>
    <s v="ORD0694"/>
    <d v="2024-02-01T00:00:00"/>
    <s v="CUST0694"/>
    <s v="Neha"/>
    <s v="Male"/>
    <n v="51"/>
    <s v="Chennai"/>
    <x v="0"/>
    <x v="2"/>
    <x v="1"/>
    <x v="4"/>
    <s v="Pending"/>
    <n v="2"/>
    <n v="15518"/>
    <n v="26380.6"/>
    <n v="9297.2000000000007"/>
  </r>
  <r>
    <s v="ORD0695"/>
    <d v="2024-11-06T00:00:00"/>
    <s v="CUST0695"/>
    <s v="Amit"/>
    <s v="Female"/>
    <n v="30"/>
    <s v="Chennai"/>
    <x v="2"/>
    <x v="1"/>
    <x v="3"/>
    <x v="4"/>
    <s v="Cancelled"/>
    <n v="4"/>
    <n v="4696"/>
    <n v="16905.599999999999"/>
    <n v="6053.78"/>
  </r>
  <r>
    <s v="ORD0696"/>
    <d v="2024-10-22T00:00:00"/>
    <s v="CUST0696"/>
    <s v="Ananya"/>
    <s v="Female"/>
    <n v="25"/>
    <s v="Bangalore"/>
    <x v="2"/>
    <x v="1"/>
    <x v="0"/>
    <x v="4"/>
    <s v="Returned"/>
    <n v="1"/>
    <n v="29909"/>
    <n v="28413.55"/>
    <n v="11092.93"/>
  </r>
  <r>
    <s v="ORD0697"/>
    <d v="2024-11-03T00:00:00"/>
    <s v="CUST0697"/>
    <s v="Amit"/>
    <s v="Male"/>
    <n v="39"/>
    <s v="Hyderabad"/>
    <x v="2"/>
    <x v="0"/>
    <x v="1"/>
    <x v="3"/>
    <s v="Returned"/>
    <n v="5"/>
    <n v="16220"/>
    <n v="68935"/>
    <n v="17733.79"/>
  </r>
  <r>
    <s v="ORD0698"/>
    <d v="2024-02-23T00:00:00"/>
    <s v="CUST0698"/>
    <s v="Rahul"/>
    <s v="Female"/>
    <n v="18"/>
    <s v="Pune"/>
    <x v="0"/>
    <x v="2"/>
    <x v="1"/>
    <x v="2"/>
    <s v="Returned"/>
    <n v="3"/>
    <n v="23766"/>
    <n v="64168.2"/>
    <n v="17010.59"/>
  </r>
  <r>
    <s v="ORD0699"/>
    <d v="2024-03-27T00:00:00"/>
    <s v="CUST0699"/>
    <s v="Ananya"/>
    <s v="Male"/>
    <n v="47"/>
    <s v="Delhi"/>
    <x v="0"/>
    <x v="0"/>
    <x v="3"/>
    <x v="0"/>
    <s v="Delivered"/>
    <n v="1"/>
    <n v="37597"/>
    <n v="30077.599999999999"/>
    <n v="10720.85"/>
  </r>
  <r>
    <s v="ORD0700"/>
    <d v="2024-06-06T00:00:00"/>
    <s v="CUST0700"/>
    <s v="Priya"/>
    <s v="Male"/>
    <n v="40"/>
    <s v="Delhi"/>
    <x v="2"/>
    <x v="0"/>
    <x v="2"/>
    <x v="4"/>
    <s v="Pending"/>
    <n v="5"/>
    <n v="37256"/>
    <n v="167652"/>
    <n v="58020.62"/>
  </r>
  <r>
    <s v="ORD0701"/>
    <d v="2024-07-10T00:00:00"/>
    <s v="CUST0701"/>
    <s v="Pooja"/>
    <s v="Male"/>
    <n v="26"/>
    <s v="Hyderabad"/>
    <x v="0"/>
    <x v="0"/>
    <x v="3"/>
    <x v="4"/>
    <s v="Pending"/>
    <n v="1"/>
    <n v="33110"/>
    <n v="26488"/>
    <n v="4379.46"/>
  </r>
  <r>
    <s v="ORD0702"/>
    <d v="2024-08-08T00:00:00"/>
    <s v="CUST0702"/>
    <s v="Priya"/>
    <s v="Female"/>
    <n v="24"/>
    <s v="Pune"/>
    <x v="0"/>
    <x v="0"/>
    <x v="1"/>
    <x v="1"/>
    <s v="Delivered"/>
    <n v="1"/>
    <n v="32941"/>
    <n v="27999.85"/>
    <n v="7755.29"/>
  </r>
  <r>
    <s v="ORD0703"/>
    <d v="2024-01-11T00:00:00"/>
    <s v="CUST0703"/>
    <s v="Amit"/>
    <s v="Male"/>
    <n v="57"/>
    <s v="Mumbai"/>
    <x v="2"/>
    <x v="0"/>
    <x v="2"/>
    <x v="2"/>
    <s v="Delivered"/>
    <n v="3"/>
    <n v="11969"/>
    <n v="35907"/>
    <n v="10066.67"/>
  </r>
  <r>
    <s v="ORD0704"/>
    <d v="2024-07-12T00:00:00"/>
    <s v="CUST0704"/>
    <s v="Rohan"/>
    <s v="Male"/>
    <n v="28"/>
    <s v="Bangalore"/>
    <x v="0"/>
    <x v="0"/>
    <x v="2"/>
    <x v="3"/>
    <s v="Returned"/>
    <n v="5"/>
    <n v="45316"/>
    <n v="192593"/>
    <n v="71753.679999999993"/>
  </r>
  <r>
    <s v="ORD0705"/>
    <d v="2024-08-10T00:00:00"/>
    <s v="CUST0705"/>
    <s v="Pooja"/>
    <s v="Female"/>
    <n v="20"/>
    <s v="Bangalore"/>
    <x v="0"/>
    <x v="1"/>
    <x v="2"/>
    <x v="3"/>
    <s v="Delivered"/>
    <n v="1"/>
    <n v="30709"/>
    <n v="30709"/>
    <n v="8338.4699999999993"/>
  </r>
  <r>
    <s v="ORD0706"/>
    <d v="2024-03-06T00:00:00"/>
    <s v="CUST0706"/>
    <s v="Priya"/>
    <s v="Male"/>
    <n v="18"/>
    <s v="Delhi"/>
    <x v="0"/>
    <x v="2"/>
    <x v="0"/>
    <x v="4"/>
    <s v="Cancelled"/>
    <n v="1"/>
    <n v="45101"/>
    <n v="42845.95"/>
    <n v="9914.9699999999993"/>
  </r>
  <r>
    <s v="ORD0707"/>
    <d v="2024-02-21T00:00:00"/>
    <s v="CUST0707"/>
    <s v="Ananya"/>
    <s v="Female"/>
    <n v="30"/>
    <s v="Hyderabad"/>
    <x v="0"/>
    <x v="0"/>
    <x v="3"/>
    <x v="1"/>
    <s v="Delivered"/>
    <n v="2"/>
    <n v="11574"/>
    <n v="19675.8"/>
    <n v="3812.06"/>
  </r>
  <r>
    <s v="ORD0708"/>
    <d v="2024-04-15T00:00:00"/>
    <s v="CUST0708"/>
    <s v="Sneha"/>
    <s v="Female"/>
    <n v="57"/>
    <s v="Delhi"/>
    <x v="2"/>
    <x v="0"/>
    <x v="4"/>
    <x v="4"/>
    <s v="Returned"/>
    <n v="3"/>
    <n v="5409"/>
    <n v="13792.95"/>
    <n v="4316.03"/>
  </r>
  <r>
    <s v="ORD0709"/>
    <d v="2024-02-22T00:00:00"/>
    <s v="CUST0709"/>
    <s v="Ananya"/>
    <s v="Female"/>
    <n v="47"/>
    <s v="Delhi"/>
    <x v="2"/>
    <x v="1"/>
    <x v="2"/>
    <x v="1"/>
    <s v="Cancelled"/>
    <n v="4"/>
    <n v="19040"/>
    <n v="60928"/>
    <n v="10188.41"/>
  </r>
  <r>
    <s v="ORD0710"/>
    <d v="2024-01-06T00:00:00"/>
    <s v="CUST0710"/>
    <s v="Amit"/>
    <s v="Male"/>
    <n v="42"/>
    <s v="Hyderabad"/>
    <x v="1"/>
    <x v="1"/>
    <x v="0"/>
    <x v="1"/>
    <s v="Returned"/>
    <n v="2"/>
    <n v="19923"/>
    <n v="37853.699999999997"/>
    <n v="11912.06"/>
  </r>
  <r>
    <s v="ORD0711"/>
    <d v="2024-07-07T00:00:00"/>
    <s v="CUST0711"/>
    <s v="Pooja"/>
    <s v="Male"/>
    <n v="51"/>
    <s v="Mumbai"/>
    <x v="2"/>
    <x v="1"/>
    <x v="0"/>
    <x v="0"/>
    <s v="Cancelled"/>
    <n v="2"/>
    <n v="5994"/>
    <n v="10789.2"/>
    <n v="2784"/>
  </r>
  <r>
    <s v="ORD0712"/>
    <d v="2024-06-23T00:00:00"/>
    <s v="CUST0712"/>
    <s v="Sneha"/>
    <s v="Male"/>
    <n v="35"/>
    <s v="Mumbai"/>
    <x v="0"/>
    <x v="1"/>
    <x v="0"/>
    <x v="2"/>
    <s v="Delivered"/>
    <n v="1"/>
    <n v="30632"/>
    <n v="26037.200000000001"/>
    <n v="5879.72"/>
  </r>
  <r>
    <s v="ORD0713"/>
    <d v="2024-08-22T00:00:00"/>
    <s v="CUST0713"/>
    <s v="Ananya"/>
    <s v="Male"/>
    <n v="56"/>
    <s v="Mumbai"/>
    <x v="0"/>
    <x v="2"/>
    <x v="2"/>
    <x v="2"/>
    <s v="Pending"/>
    <n v="2"/>
    <n v="17226"/>
    <n v="29284.2"/>
    <n v="6806.95"/>
  </r>
  <r>
    <s v="ORD0714"/>
    <d v="2024-07-09T00:00:00"/>
    <s v="CUST0714"/>
    <s v="Ananya"/>
    <s v="Female"/>
    <n v="42"/>
    <s v="Delhi"/>
    <x v="0"/>
    <x v="0"/>
    <x v="4"/>
    <x v="1"/>
    <s v="Pending"/>
    <n v="5"/>
    <n v="41882"/>
    <n v="209410"/>
    <n v="45650.11"/>
  </r>
  <r>
    <s v="ORD0715"/>
    <d v="2024-01-09T00:00:00"/>
    <s v="CUST0715"/>
    <s v="Pooja"/>
    <s v="Female"/>
    <n v="40"/>
    <s v="Pune"/>
    <x v="1"/>
    <x v="0"/>
    <x v="2"/>
    <x v="3"/>
    <s v="Pending"/>
    <n v="5"/>
    <n v="49151"/>
    <n v="233467.25"/>
    <n v="75488.09"/>
  </r>
  <r>
    <s v="ORD0716"/>
    <d v="2024-08-16T00:00:00"/>
    <s v="CUST0716"/>
    <s v="Amit"/>
    <s v="Male"/>
    <n v="30"/>
    <s v="Pune"/>
    <x v="0"/>
    <x v="2"/>
    <x v="2"/>
    <x v="4"/>
    <s v="Cancelled"/>
    <n v="3"/>
    <n v="30526"/>
    <n v="77841.3"/>
    <n v="26132.48"/>
  </r>
  <r>
    <s v="ORD0717"/>
    <d v="2024-11-18T00:00:00"/>
    <s v="CUST0717"/>
    <s v="Amit"/>
    <s v="Female"/>
    <n v="41"/>
    <s v="Pune"/>
    <x v="0"/>
    <x v="1"/>
    <x v="0"/>
    <x v="1"/>
    <s v="Returned"/>
    <n v="1"/>
    <n v="19026"/>
    <n v="18074.7"/>
    <n v="7130.44"/>
  </r>
  <r>
    <s v="ORD0718"/>
    <d v="2024-03-05T00:00:00"/>
    <s v="CUST0718"/>
    <s v="Ananya"/>
    <s v="Male"/>
    <n v="45"/>
    <s v="Delhi"/>
    <x v="0"/>
    <x v="0"/>
    <x v="4"/>
    <x v="3"/>
    <s v="Delivered"/>
    <n v="1"/>
    <n v="9296"/>
    <n v="8831.2000000000007"/>
    <n v="1919.48"/>
  </r>
  <r>
    <s v="ORD0719"/>
    <d v="2024-05-28T00:00:00"/>
    <s v="CUST0719"/>
    <s v="Vikram"/>
    <s v="Male"/>
    <n v="21"/>
    <s v="Hyderabad"/>
    <x v="2"/>
    <x v="2"/>
    <x v="0"/>
    <x v="2"/>
    <s v="Returned"/>
    <n v="1"/>
    <n v="6388"/>
    <n v="6068.6"/>
    <n v="1607.88"/>
  </r>
  <r>
    <s v="ORD0720"/>
    <d v="2024-01-14T00:00:00"/>
    <s v="CUST0720"/>
    <s v="Priya"/>
    <s v="Female"/>
    <n v="45"/>
    <s v="Delhi"/>
    <x v="2"/>
    <x v="0"/>
    <x v="3"/>
    <x v="2"/>
    <s v="Delivered"/>
    <n v="3"/>
    <n v="36469"/>
    <n v="98466.3"/>
    <n v="15938.1"/>
  </r>
  <r>
    <s v="ORD0721"/>
    <d v="2024-01-20T00:00:00"/>
    <s v="CUST0721"/>
    <s v="Amit"/>
    <s v="Male"/>
    <n v="19"/>
    <s v="Pune"/>
    <x v="0"/>
    <x v="2"/>
    <x v="0"/>
    <x v="3"/>
    <s v="Pending"/>
    <n v="2"/>
    <n v="3173"/>
    <n v="6346"/>
    <n v="2010.18"/>
  </r>
  <r>
    <s v="ORD0722"/>
    <d v="2024-06-27T00:00:00"/>
    <s v="CUST0722"/>
    <s v="Vikram"/>
    <s v="Male"/>
    <n v="52"/>
    <s v="Hyderabad"/>
    <x v="2"/>
    <x v="0"/>
    <x v="0"/>
    <x v="1"/>
    <s v="Returned"/>
    <n v="4"/>
    <n v="49482"/>
    <n v="158342.39999999999"/>
    <n v="49215.98"/>
  </r>
  <r>
    <s v="ORD0723"/>
    <d v="2024-11-20T00:00:00"/>
    <s v="CUST0723"/>
    <s v="Ananya"/>
    <s v="Male"/>
    <n v="38"/>
    <s v="Mumbai"/>
    <x v="0"/>
    <x v="2"/>
    <x v="1"/>
    <x v="3"/>
    <s v="Cancelled"/>
    <n v="2"/>
    <n v="29909"/>
    <n v="59818"/>
    <n v="16186.09"/>
  </r>
  <r>
    <s v="ORD0724"/>
    <d v="2024-11-23T00:00:00"/>
    <s v="CUST0724"/>
    <s v="Sneha"/>
    <s v="Male"/>
    <n v="42"/>
    <s v="Bangalore"/>
    <x v="0"/>
    <x v="1"/>
    <x v="0"/>
    <x v="3"/>
    <s v="Pending"/>
    <n v="5"/>
    <n v="48878"/>
    <n v="207731.5"/>
    <n v="49175.82"/>
  </r>
  <r>
    <s v="ORD0725"/>
    <d v="2024-11-08T00:00:00"/>
    <s v="CUST0725"/>
    <s v="Rahul"/>
    <s v="Female"/>
    <n v="37"/>
    <s v="Pune"/>
    <x v="1"/>
    <x v="0"/>
    <x v="3"/>
    <x v="3"/>
    <s v="Returned"/>
    <n v="5"/>
    <n v="46046"/>
    <n v="207207"/>
    <n v="47379.41"/>
  </r>
  <r>
    <s v="ORD0726"/>
    <d v="2024-05-26T00:00:00"/>
    <s v="CUST0726"/>
    <s v="Rohan"/>
    <s v="Female"/>
    <n v="41"/>
    <s v="Pune"/>
    <x v="1"/>
    <x v="0"/>
    <x v="0"/>
    <x v="3"/>
    <s v="Delivered"/>
    <n v="2"/>
    <n v="36749"/>
    <n v="73498"/>
    <n v="25843.93"/>
  </r>
  <r>
    <s v="ORD0727"/>
    <d v="2024-03-23T00:00:00"/>
    <s v="CUST0727"/>
    <s v="Neha"/>
    <s v="Male"/>
    <n v="30"/>
    <s v="Chennai"/>
    <x v="0"/>
    <x v="1"/>
    <x v="4"/>
    <x v="4"/>
    <s v="Cancelled"/>
    <n v="4"/>
    <n v="9779"/>
    <n v="31292.799999999999"/>
    <n v="10801.53"/>
  </r>
  <r>
    <s v="ORD0728"/>
    <d v="2024-02-09T00:00:00"/>
    <s v="CUST0728"/>
    <s v="Rahul"/>
    <s v="Female"/>
    <n v="35"/>
    <s v="Mumbai"/>
    <x v="2"/>
    <x v="0"/>
    <x v="4"/>
    <x v="3"/>
    <s v="Cancelled"/>
    <n v="5"/>
    <n v="45903"/>
    <n v="206563.5"/>
    <n v="40286.449999999997"/>
  </r>
  <r>
    <s v="ORD0729"/>
    <d v="2024-11-15T00:00:00"/>
    <s v="CUST0729"/>
    <s v="Pooja"/>
    <s v="Male"/>
    <n v="21"/>
    <s v="Hyderabad"/>
    <x v="1"/>
    <x v="0"/>
    <x v="1"/>
    <x v="2"/>
    <s v="Returned"/>
    <n v="5"/>
    <n v="6342"/>
    <n v="30124.5"/>
    <n v="11679.11"/>
  </r>
  <r>
    <s v="ORD0730"/>
    <d v="2024-11-24T00:00:00"/>
    <s v="CUST0730"/>
    <s v="Rohan"/>
    <s v="Male"/>
    <n v="33"/>
    <s v="Chennai"/>
    <x v="0"/>
    <x v="2"/>
    <x v="3"/>
    <x v="3"/>
    <s v="Returned"/>
    <n v="1"/>
    <n v="23754"/>
    <n v="20190.900000000001"/>
    <n v="4929.2"/>
  </r>
  <r>
    <s v="ORD0731"/>
    <d v="2024-06-17T00:00:00"/>
    <s v="CUST0731"/>
    <s v="Priya"/>
    <s v="Female"/>
    <n v="34"/>
    <s v="Pune"/>
    <x v="0"/>
    <x v="0"/>
    <x v="1"/>
    <x v="1"/>
    <s v="Delivered"/>
    <n v="1"/>
    <n v="44080"/>
    <n v="39672"/>
    <n v="8514.51"/>
  </r>
  <r>
    <s v="ORD0732"/>
    <d v="2024-02-03T00:00:00"/>
    <s v="CUST0732"/>
    <s v="Vikram"/>
    <s v="Female"/>
    <n v="18"/>
    <s v="Mumbai"/>
    <x v="0"/>
    <x v="2"/>
    <x v="1"/>
    <x v="3"/>
    <s v="Cancelled"/>
    <n v="5"/>
    <n v="11303"/>
    <n v="56515"/>
    <n v="15321.93"/>
  </r>
  <r>
    <s v="ORD0733"/>
    <d v="2024-04-11T00:00:00"/>
    <s v="CUST0733"/>
    <s v="Rohan"/>
    <s v="Female"/>
    <n v="22"/>
    <s v="Chennai"/>
    <x v="1"/>
    <x v="2"/>
    <x v="4"/>
    <x v="4"/>
    <s v="Pending"/>
    <n v="3"/>
    <n v="27460"/>
    <n v="70023"/>
    <n v="26499.69"/>
  </r>
  <r>
    <s v="ORD0734"/>
    <d v="2024-03-31T00:00:00"/>
    <s v="CUST0734"/>
    <s v="Sneha"/>
    <s v="Male"/>
    <n v="49"/>
    <s v="Delhi"/>
    <x v="2"/>
    <x v="2"/>
    <x v="0"/>
    <x v="0"/>
    <s v="Pending"/>
    <n v="1"/>
    <n v="32187"/>
    <n v="32187"/>
    <n v="12653.32"/>
  </r>
  <r>
    <s v="ORD0735"/>
    <d v="2024-03-28T00:00:00"/>
    <s v="CUST0735"/>
    <s v="Pooja"/>
    <s v="Male"/>
    <n v="21"/>
    <s v="Hyderabad"/>
    <x v="0"/>
    <x v="0"/>
    <x v="0"/>
    <x v="3"/>
    <s v="Pending"/>
    <n v="2"/>
    <n v="48199"/>
    <n v="77118.399999999994"/>
    <n v="15797.05"/>
  </r>
  <r>
    <s v="ORD0736"/>
    <d v="2024-07-23T00:00:00"/>
    <s v="CUST0736"/>
    <s v="Rahul"/>
    <s v="Male"/>
    <n v="45"/>
    <s v="Chennai"/>
    <x v="1"/>
    <x v="0"/>
    <x v="0"/>
    <x v="3"/>
    <s v="Pending"/>
    <n v="2"/>
    <n v="47299"/>
    <n v="85138.2"/>
    <n v="17401.66"/>
  </r>
  <r>
    <s v="ORD0737"/>
    <d v="2024-08-18T00:00:00"/>
    <s v="CUST0737"/>
    <s v="Pooja"/>
    <s v="Male"/>
    <n v="45"/>
    <s v="Chennai"/>
    <x v="2"/>
    <x v="2"/>
    <x v="4"/>
    <x v="2"/>
    <s v="Delivered"/>
    <n v="4"/>
    <n v="8388"/>
    <n v="31874.400000000001"/>
    <n v="5936.77"/>
  </r>
  <r>
    <s v="ORD0738"/>
    <d v="2024-09-12T00:00:00"/>
    <s v="CUST0738"/>
    <s v="Vikram"/>
    <s v="Female"/>
    <n v="57"/>
    <s v="Bangalore"/>
    <x v="0"/>
    <x v="0"/>
    <x v="0"/>
    <x v="0"/>
    <s v="Delivered"/>
    <n v="5"/>
    <n v="48151"/>
    <n v="216679.5"/>
    <n v="53405.33"/>
  </r>
  <r>
    <s v="ORD0739"/>
    <d v="2024-05-15T00:00:00"/>
    <s v="CUST0739"/>
    <s v="Pooja"/>
    <s v="Female"/>
    <n v="46"/>
    <s v="Pune"/>
    <x v="0"/>
    <x v="0"/>
    <x v="2"/>
    <x v="4"/>
    <s v="Returned"/>
    <n v="4"/>
    <n v="43710"/>
    <n v="157356"/>
    <n v="54725.68"/>
  </r>
  <r>
    <s v="ORD0740"/>
    <d v="2024-08-27T00:00:00"/>
    <s v="CUST0740"/>
    <s v="Sneha"/>
    <s v="Male"/>
    <n v="51"/>
    <s v="Hyderabad"/>
    <x v="0"/>
    <x v="2"/>
    <x v="1"/>
    <x v="1"/>
    <s v="Cancelled"/>
    <n v="4"/>
    <n v="42264"/>
    <n v="160603.20000000001"/>
    <n v="52246.3"/>
  </r>
  <r>
    <s v="ORD0741"/>
    <d v="2024-10-26T00:00:00"/>
    <s v="CUST0741"/>
    <s v="Vikram"/>
    <s v="Male"/>
    <n v="44"/>
    <s v="Hyderabad"/>
    <x v="0"/>
    <x v="2"/>
    <x v="4"/>
    <x v="1"/>
    <s v="Returned"/>
    <n v="4"/>
    <n v="7786"/>
    <n v="31144"/>
    <n v="6511.22"/>
  </r>
  <r>
    <s v="ORD0742"/>
    <d v="2024-06-26T00:00:00"/>
    <s v="CUST0742"/>
    <s v="Pooja"/>
    <s v="Female"/>
    <n v="43"/>
    <s v="Bangalore"/>
    <x v="2"/>
    <x v="1"/>
    <x v="1"/>
    <x v="3"/>
    <s v="Pending"/>
    <n v="5"/>
    <n v="45333"/>
    <n v="203998.5"/>
    <n v="57282.14"/>
  </r>
  <r>
    <s v="ORD0743"/>
    <d v="2024-10-09T00:00:00"/>
    <s v="CUST0743"/>
    <s v="Aarav"/>
    <s v="Female"/>
    <n v="32"/>
    <s v="Delhi"/>
    <x v="1"/>
    <x v="2"/>
    <x v="3"/>
    <x v="0"/>
    <s v="Returned"/>
    <n v="2"/>
    <n v="2538"/>
    <n v="4822.2"/>
    <n v="1460.87"/>
  </r>
  <r>
    <s v="ORD0744"/>
    <d v="2024-08-12T00:00:00"/>
    <s v="CUST0744"/>
    <s v="Amit"/>
    <s v="Male"/>
    <n v="23"/>
    <s v="Bangalore"/>
    <x v="1"/>
    <x v="1"/>
    <x v="2"/>
    <x v="4"/>
    <s v="Pending"/>
    <n v="4"/>
    <n v="39931"/>
    <n v="135765.4"/>
    <n v="37232.120000000003"/>
  </r>
  <r>
    <s v="ORD0745"/>
    <d v="2024-12-31T00:00:00"/>
    <s v="CUST0745"/>
    <s v="Rohan"/>
    <s v="Female"/>
    <n v="32"/>
    <s v="Hyderabad"/>
    <x v="2"/>
    <x v="0"/>
    <x v="1"/>
    <x v="1"/>
    <s v="Returned"/>
    <n v="1"/>
    <n v="26061"/>
    <n v="22151.85"/>
    <n v="4170.57"/>
  </r>
  <r>
    <s v="ORD0746"/>
    <d v="2024-12-16T00:00:00"/>
    <s v="CUST0746"/>
    <s v="Rohan"/>
    <s v="Female"/>
    <n v="30"/>
    <s v="Pune"/>
    <x v="2"/>
    <x v="2"/>
    <x v="3"/>
    <x v="4"/>
    <s v="Pending"/>
    <n v="3"/>
    <n v="32454"/>
    <n v="87625.8"/>
    <n v="21158.94"/>
  </r>
  <r>
    <s v="ORD0747"/>
    <d v="2024-02-13T00:00:00"/>
    <s v="CUST0747"/>
    <s v="Vikram"/>
    <s v="Female"/>
    <n v="30"/>
    <s v="Hyderabad"/>
    <x v="1"/>
    <x v="1"/>
    <x v="4"/>
    <x v="2"/>
    <s v="Cancelled"/>
    <n v="2"/>
    <n v="14166"/>
    <n v="24082.2"/>
    <n v="5830.96"/>
  </r>
  <r>
    <s v="ORD0748"/>
    <d v="2024-02-01T00:00:00"/>
    <s v="CUST0748"/>
    <s v="Ananya"/>
    <s v="Male"/>
    <n v="43"/>
    <s v="Chennai"/>
    <x v="2"/>
    <x v="1"/>
    <x v="4"/>
    <x v="4"/>
    <s v="Cancelled"/>
    <n v="4"/>
    <n v="48381"/>
    <n v="154819.20000000001"/>
    <n v="33162.97"/>
  </r>
  <r>
    <s v="ORD0749"/>
    <d v="2024-04-17T00:00:00"/>
    <s v="CUST0749"/>
    <s v="Vikram"/>
    <s v="Female"/>
    <n v="55"/>
    <s v="Bangalore"/>
    <x v="0"/>
    <x v="2"/>
    <x v="4"/>
    <x v="3"/>
    <s v="Cancelled"/>
    <n v="2"/>
    <n v="33969"/>
    <n v="57747.3"/>
    <n v="23003.55"/>
  </r>
  <r>
    <s v="ORD0750"/>
    <d v="2024-07-01T00:00:00"/>
    <s v="CUST0750"/>
    <s v="Ananya"/>
    <s v="Female"/>
    <n v="48"/>
    <s v="Pune"/>
    <x v="0"/>
    <x v="1"/>
    <x v="4"/>
    <x v="0"/>
    <s v="Returned"/>
    <n v="4"/>
    <n v="16678"/>
    <n v="66712"/>
    <n v="22403.83"/>
  </r>
  <r>
    <s v="ORD0751"/>
    <d v="2024-07-27T00:00:00"/>
    <s v="CUST0751"/>
    <s v="Pooja"/>
    <s v="Male"/>
    <n v="42"/>
    <s v="Hyderabad"/>
    <x v="0"/>
    <x v="2"/>
    <x v="2"/>
    <x v="0"/>
    <s v="Delivered"/>
    <n v="3"/>
    <n v="40286"/>
    <n v="96686.399999999994"/>
    <n v="22342"/>
  </r>
  <r>
    <s v="ORD0752"/>
    <d v="2024-03-31T00:00:00"/>
    <s v="CUST0752"/>
    <s v="Pooja"/>
    <s v="Male"/>
    <n v="57"/>
    <s v="Mumbai"/>
    <x v="2"/>
    <x v="0"/>
    <x v="1"/>
    <x v="0"/>
    <s v="Pending"/>
    <n v="5"/>
    <n v="45550"/>
    <n v="227750"/>
    <n v="65524.49"/>
  </r>
  <r>
    <s v="ORD0753"/>
    <d v="2024-01-27T00:00:00"/>
    <s v="CUST0753"/>
    <s v="Ananya"/>
    <s v="Female"/>
    <n v="18"/>
    <s v="Hyderabad"/>
    <x v="0"/>
    <x v="1"/>
    <x v="4"/>
    <x v="1"/>
    <s v="Cancelled"/>
    <n v="3"/>
    <n v="36936"/>
    <n v="110808"/>
    <n v="37845.019999999997"/>
  </r>
  <r>
    <s v="ORD0754"/>
    <d v="2024-04-26T00:00:00"/>
    <s v="CUST0754"/>
    <s v="Ananya"/>
    <s v="Male"/>
    <n v="45"/>
    <s v="Chennai"/>
    <x v="0"/>
    <x v="2"/>
    <x v="1"/>
    <x v="0"/>
    <s v="Cancelled"/>
    <n v="3"/>
    <n v="28505"/>
    <n v="68412"/>
    <n v="22450.7"/>
  </r>
  <r>
    <s v="ORD0755"/>
    <d v="2024-01-17T00:00:00"/>
    <s v="CUST0755"/>
    <s v="Rohan"/>
    <s v="Male"/>
    <n v="36"/>
    <s v="Delhi"/>
    <x v="1"/>
    <x v="2"/>
    <x v="3"/>
    <x v="1"/>
    <s v="Delivered"/>
    <n v="4"/>
    <n v="45690"/>
    <n v="164484"/>
    <n v="50546.3"/>
  </r>
  <r>
    <s v="ORD0756"/>
    <d v="2024-07-10T00:00:00"/>
    <s v="CUST0756"/>
    <s v="Neha"/>
    <s v="Male"/>
    <n v="23"/>
    <s v="Mumbai"/>
    <x v="0"/>
    <x v="1"/>
    <x v="0"/>
    <x v="3"/>
    <s v="Pending"/>
    <n v="4"/>
    <n v="13849"/>
    <n v="49856.4"/>
    <n v="16697.740000000002"/>
  </r>
  <r>
    <s v="ORD0757"/>
    <d v="2024-09-26T00:00:00"/>
    <s v="CUST0757"/>
    <s v="Aarav"/>
    <s v="Female"/>
    <n v="49"/>
    <s v="Delhi"/>
    <x v="0"/>
    <x v="1"/>
    <x v="0"/>
    <x v="4"/>
    <s v="Returned"/>
    <n v="5"/>
    <n v="40819"/>
    <n v="183685.5"/>
    <n v="51989.8"/>
  </r>
  <r>
    <s v="ORD0758"/>
    <d v="2024-06-01T00:00:00"/>
    <s v="CUST0758"/>
    <s v="Rohan"/>
    <s v="Male"/>
    <n v="34"/>
    <s v="Bangalore"/>
    <x v="1"/>
    <x v="2"/>
    <x v="1"/>
    <x v="3"/>
    <s v="Delivered"/>
    <n v="4"/>
    <n v="14644"/>
    <n v="52718.400000000001"/>
    <n v="14367.33"/>
  </r>
  <r>
    <s v="ORD0759"/>
    <d v="2024-03-28T00:00:00"/>
    <s v="CUST0759"/>
    <s v="Pooja"/>
    <s v="Female"/>
    <n v="53"/>
    <s v="Hyderabad"/>
    <x v="2"/>
    <x v="0"/>
    <x v="4"/>
    <x v="4"/>
    <s v="Delivered"/>
    <n v="3"/>
    <n v="20206"/>
    <n v="48494.400000000001"/>
    <n v="10058.32"/>
  </r>
  <r>
    <s v="ORD0760"/>
    <d v="2024-08-24T00:00:00"/>
    <s v="CUST0760"/>
    <s v="Priya"/>
    <s v="Male"/>
    <n v="39"/>
    <s v="Bangalore"/>
    <x v="0"/>
    <x v="2"/>
    <x v="3"/>
    <x v="0"/>
    <s v="Returned"/>
    <n v="1"/>
    <n v="37505"/>
    <n v="33754.5"/>
    <n v="9922.15"/>
  </r>
  <r>
    <s v="ORD0761"/>
    <d v="2024-01-27T00:00:00"/>
    <s v="CUST0761"/>
    <s v="Neha"/>
    <s v="Female"/>
    <n v="22"/>
    <s v="Hyderabad"/>
    <x v="2"/>
    <x v="2"/>
    <x v="1"/>
    <x v="3"/>
    <s v="Pending"/>
    <n v="4"/>
    <n v="43127"/>
    <n v="146631.79999999999"/>
    <n v="40704.9"/>
  </r>
  <r>
    <s v="ORD0762"/>
    <d v="2024-12-08T00:00:00"/>
    <s v="CUST0762"/>
    <s v="Amit"/>
    <s v="Female"/>
    <n v="47"/>
    <s v="Delhi"/>
    <x v="0"/>
    <x v="1"/>
    <x v="2"/>
    <x v="1"/>
    <s v="Pending"/>
    <n v="1"/>
    <n v="35349"/>
    <n v="35349"/>
    <n v="6771.19"/>
  </r>
  <r>
    <s v="ORD0763"/>
    <d v="2024-06-01T00:00:00"/>
    <s v="CUST0763"/>
    <s v="Amit"/>
    <s v="Male"/>
    <n v="30"/>
    <s v="Mumbai"/>
    <x v="0"/>
    <x v="0"/>
    <x v="0"/>
    <x v="2"/>
    <s v="Pending"/>
    <n v="1"/>
    <n v="7004"/>
    <n v="6653.8"/>
    <n v="1369.34"/>
  </r>
  <r>
    <s v="ORD0764"/>
    <d v="2024-01-07T00:00:00"/>
    <s v="CUST0764"/>
    <s v="Aarav"/>
    <s v="Male"/>
    <n v="46"/>
    <s v="Delhi"/>
    <x v="0"/>
    <x v="1"/>
    <x v="1"/>
    <x v="4"/>
    <s v="Returned"/>
    <n v="2"/>
    <n v="20647"/>
    <n v="35099.9"/>
    <n v="12787.04"/>
  </r>
  <r>
    <s v="ORD0765"/>
    <d v="2024-05-29T00:00:00"/>
    <s v="CUST0765"/>
    <s v="Neha"/>
    <s v="Female"/>
    <n v="43"/>
    <s v="Bangalore"/>
    <x v="0"/>
    <x v="0"/>
    <x v="4"/>
    <x v="0"/>
    <s v="Cancelled"/>
    <n v="2"/>
    <n v="39491"/>
    <n v="75032.899999999994"/>
    <n v="16689.32"/>
  </r>
  <r>
    <s v="ORD0766"/>
    <d v="2024-01-19T00:00:00"/>
    <s v="CUST0766"/>
    <s v="Ananya"/>
    <s v="Male"/>
    <n v="60"/>
    <s v="Hyderabad"/>
    <x v="2"/>
    <x v="1"/>
    <x v="1"/>
    <x v="1"/>
    <s v="Returned"/>
    <n v="1"/>
    <n v="2656"/>
    <n v="2124.8000000000002"/>
    <n v="807.17"/>
  </r>
  <r>
    <s v="ORD0767"/>
    <d v="2024-11-15T00:00:00"/>
    <s v="CUST0767"/>
    <s v="Ananya"/>
    <s v="Male"/>
    <n v="56"/>
    <s v="Delhi"/>
    <x v="0"/>
    <x v="1"/>
    <x v="2"/>
    <x v="3"/>
    <s v="Delivered"/>
    <n v="5"/>
    <n v="23328"/>
    <n v="110808"/>
    <n v="29825.88"/>
  </r>
  <r>
    <s v="ORD0768"/>
    <d v="2024-09-30T00:00:00"/>
    <s v="CUST0768"/>
    <s v="Neha"/>
    <s v="Male"/>
    <n v="57"/>
    <s v="Pune"/>
    <x v="0"/>
    <x v="0"/>
    <x v="4"/>
    <x v="0"/>
    <s v="Pending"/>
    <n v="4"/>
    <n v="40165"/>
    <n v="160660"/>
    <n v="44536.32"/>
  </r>
  <r>
    <s v="ORD0769"/>
    <d v="2024-01-15T00:00:00"/>
    <s v="CUST0769"/>
    <s v="Ananya"/>
    <s v="Male"/>
    <n v="47"/>
    <s v="Bangalore"/>
    <x v="2"/>
    <x v="2"/>
    <x v="4"/>
    <x v="3"/>
    <s v="Cancelled"/>
    <n v="1"/>
    <n v="46506"/>
    <n v="44180.7"/>
    <n v="10610.72"/>
  </r>
  <r>
    <s v="ORD0770"/>
    <d v="2024-01-06T00:00:00"/>
    <s v="CUST0770"/>
    <s v="Pooja"/>
    <s v="Male"/>
    <n v="30"/>
    <s v="Hyderabad"/>
    <x v="0"/>
    <x v="2"/>
    <x v="2"/>
    <x v="4"/>
    <s v="Returned"/>
    <n v="2"/>
    <n v="27198"/>
    <n v="43516.800000000003"/>
    <n v="14949.41"/>
  </r>
  <r>
    <s v="ORD0771"/>
    <d v="2024-09-16T00:00:00"/>
    <s v="CUST0771"/>
    <s v="Priya"/>
    <s v="Female"/>
    <n v="54"/>
    <s v="Delhi"/>
    <x v="1"/>
    <x v="1"/>
    <x v="3"/>
    <x v="4"/>
    <s v="Delivered"/>
    <n v="1"/>
    <n v="14786"/>
    <n v="13307.4"/>
    <n v="2484.87"/>
  </r>
  <r>
    <s v="ORD0772"/>
    <d v="2024-06-25T00:00:00"/>
    <s v="CUST0772"/>
    <s v="Aarav"/>
    <s v="Female"/>
    <n v="36"/>
    <s v="Pune"/>
    <x v="0"/>
    <x v="1"/>
    <x v="4"/>
    <x v="3"/>
    <s v="Cancelled"/>
    <n v="4"/>
    <n v="37368"/>
    <n v="149472"/>
    <n v="51614.43"/>
  </r>
  <r>
    <s v="ORD0773"/>
    <d v="2024-04-13T00:00:00"/>
    <s v="CUST0773"/>
    <s v="Aarav"/>
    <s v="Female"/>
    <n v="48"/>
    <s v="Hyderabad"/>
    <x v="2"/>
    <x v="2"/>
    <x v="2"/>
    <x v="2"/>
    <s v="Returned"/>
    <n v="5"/>
    <n v="8194"/>
    <n v="36873"/>
    <n v="8440"/>
  </r>
  <r>
    <s v="ORD0774"/>
    <d v="2024-08-08T00:00:00"/>
    <s v="CUST0774"/>
    <s v="Neha"/>
    <s v="Male"/>
    <n v="41"/>
    <s v="Hyderabad"/>
    <x v="2"/>
    <x v="2"/>
    <x v="0"/>
    <x v="3"/>
    <s v="Returned"/>
    <n v="1"/>
    <n v="39366"/>
    <n v="31492.799999999999"/>
    <n v="11495.04"/>
  </r>
  <r>
    <s v="ORD0775"/>
    <d v="2024-10-04T00:00:00"/>
    <s v="CUST0775"/>
    <s v="Sneha"/>
    <s v="Male"/>
    <n v="43"/>
    <s v="Delhi"/>
    <x v="0"/>
    <x v="0"/>
    <x v="4"/>
    <x v="2"/>
    <s v="Delivered"/>
    <n v="5"/>
    <n v="5171"/>
    <n v="25855"/>
    <n v="8049.71"/>
  </r>
  <r>
    <s v="ORD0776"/>
    <d v="2024-11-15T00:00:00"/>
    <s v="CUST0776"/>
    <s v="Rahul"/>
    <s v="Male"/>
    <n v="53"/>
    <s v="Mumbai"/>
    <x v="0"/>
    <x v="0"/>
    <x v="4"/>
    <x v="0"/>
    <s v="Delivered"/>
    <n v="5"/>
    <n v="15288"/>
    <n v="68796"/>
    <n v="20880.43"/>
  </r>
  <r>
    <s v="ORD0777"/>
    <d v="2024-06-22T00:00:00"/>
    <s v="CUST0777"/>
    <s v="Neha"/>
    <s v="Male"/>
    <n v="44"/>
    <s v="Mumbai"/>
    <x v="2"/>
    <x v="1"/>
    <x v="2"/>
    <x v="3"/>
    <s v="Pending"/>
    <n v="2"/>
    <n v="14156"/>
    <n v="24065.200000000001"/>
    <n v="9399.36"/>
  </r>
  <r>
    <s v="ORD0778"/>
    <d v="2024-07-29T00:00:00"/>
    <s v="CUST0778"/>
    <s v="Vikram"/>
    <s v="Male"/>
    <n v="33"/>
    <s v="Chennai"/>
    <x v="2"/>
    <x v="2"/>
    <x v="0"/>
    <x v="4"/>
    <s v="Returned"/>
    <n v="3"/>
    <n v="25165"/>
    <n v="75495"/>
    <n v="16011.27"/>
  </r>
  <r>
    <s v="ORD0779"/>
    <d v="2024-07-07T00:00:00"/>
    <s v="CUST0779"/>
    <s v="Priya"/>
    <s v="Female"/>
    <n v="56"/>
    <s v="Delhi"/>
    <x v="0"/>
    <x v="1"/>
    <x v="2"/>
    <x v="3"/>
    <s v="Pending"/>
    <n v="5"/>
    <n v="1393"/>
    <n v="6616.75"/>
    <n v="2267.19"/>
  </r>
  <r>
    <s v="ORD0780"/>
    <d v="2024-10-16T00:00:00"/>
    <s v="CUST0780"/>
    <s v="Amit"/>
    <s v="Male"/>
    <n v="56"/>
    <s v="Pune"/>
    <x v="0"/>
    <x v="0"/>
    <x v="2"/>
    <x v="2"/>
    <s v="Pending"/>
    <n v="2"/>
    <n v="15053"/>
    <n v="25590.1"/>
    <n v="7686.78"/>
  </r>
  <r>
    <s v="ORD0781"/>
    <d v="2024-10-31T00:00:00"/>
    <s v="CUST0781"/>
    <s v="Priya"/>
    <s v="Male"/>
    <n v="34"/>
    <s v="Mumbai"/>
    <x v="0"/>
    <x v="2"/>
    <x v="4"/>
    <x v="1"/>
    <s v="Cancelled"/>
    <n v="5"/>
    <n v="31118"/>
    <n v="147810.5"/>
    <n v="53335.88"/>
  </r>
  <r>
    <s v="ORD0782"/>
    <d v="2024-11-23T00:00:00"/>
    <s v="CUST0782"/>
    <s v="Vikram"/>
    <s v="Female"/>
    <n v="45"/>
    <s v="Delhi"/>
    <x v="0"/>
    <x v="2"/>
    <x v="1"/>
    <x v="3"/>
    <s v="Returned"/>
    <n v="1"/>
    <n v="8576"/>
    <n v="8147.2"/>
    <n v="2272.9699999999998"/>
  </r>
  <r>
    <s v="ORD0783"/>
    <d v="2024-02-11T00:00:00"/>
    <s v="CUST0783"/>
    <s v="Ananya"/>
    <s v="Female"/>
    <n v="58"/>
    <s v="Hyderabad"/>
    <x v="1"/>
    <x v="1"/>
    <x v="4"/>
    <x v="2"/>
    <s v="Delivered"/>
    <n v="5"/>
    <n v="12157"/>
    <n v="48628"/>
    <n v="13884.8"/>
  </r>
  <r>
    <s v="ORD0784"/>
    <d v="2024-03-13T00:00:00"/>
    <s v="CUST0784"/>
    <s v="Rahul"/>
    <s v="Female"/>
    <n v="55"/>
    <s v="Hyderabad"/>
    <x v="0"/>
    <x v="0"/>
    <x v="2"/>
    <x v="2"/>
    <s v="Pending"/>
    <n v="1"/>
    <n v="49217"/>
    <n v="49217"/>
    <n v="8234.19"/>
  </r>
  <r>
    <s v="ORD0785"/>
    <d v="2024-01-17T00:00:00"/>
    <s v="CUST0785"/>
    <s v="Neha"/>
    <s v="Male"/>
    <n v="38"/>
    <s v="Hyderabad"/>
    <x v="0"/>
    <x v="2"/>
    <x v="0"/>
    <x v="2"/>
    <s v="Pending"/>
    <n v="2"/>
    <n v="32878"/>
    <n v="55892.6"/>
    <n v="12061.07"/>
  </r>
  <r>
    <s v="ORD0786"/>
    <d v="2024-12-25T00:00:00"/>
    <s v="CUST0786"/>
    <s v="Rohan"/>
    <s v="Male"/>
    <n v="52"/>
    <s v="Pune"/>
    <x v="2"/>
    <x v="0"/>
    <x v="4"/>
    <x v="4"/>
    <s v="Returned"/>
    <n v="1"/>
    <n v="4011"/>
    <n v="4011"/>
    <n v="1103.1500000000001"/>
  </r>
  <r>
    <s v="ORD0787"/>
    <d v="2024-04-23T00:00:00"/>
    <s v="CUST0787"/>
    <s v="Ananya"/>
    <s v="Male"/>
    <n v="25"/>
    <s v="Hyderabad"/>
    <x v="0"/>
    <x v="0"/>
    <x v="3"/>
    <x v="1"/>
    <s v="Delivered"/>
    <n v="1"/>
    <n v="34634"/>
    <n v="27707.200000000001"/>
    <n v="6123.36"/>
  </r>
  <r>
    <s v="ORD0788"/>
    <d v="2024-12-12T00:00:00"/>
    <s v="CUST0788"/>
    <s v="Pooja"/>
    <s v="Female"/>
    <n v="42"/>
    <s v="Pune"/>
    <x v="0"/>
    <x v="2"/>
    <x v="4"/>
    <x v="2"/>
    <s v="Returned"/>
    <n v="1"/>
    <n v="38306"/>
    <n v="38306"/>
    <n v="10468.91"/>
  </r>
  <r>
    <s v="ORD0789"/>
    <d v="2024-01-24T00:00:00"/>
    <s v="CUST0789"/>
    <s v="Vikram"/>
    <s v="Female"/>
    <n v="52"/>
    <s v="Bangalore"/>
    <x v="1"/>
    <x v="0"/>
    <x v="4"/>
    <x v="3"/>
    <s v="Cancelled"/>
    <n v="5"/>
    <n v="13948"/>
    <n v="69740"/>
    <n v="23998.05"/>
  </r>
  <r>
    <s v="ORD0790"/>
    <d v="2024-09-13T00:00:00"/>
    <s v="CUST0790"/>
    <s v="Vikram"/>
    <s v="Female"/>
    <n v="49"/>
    <s v="Bangalore"/>
    <x v="0"/>
    <x v="2"/>
    <x v="0"/>
    <x v="2"/>
    <s v="Cancelled"/>
    <n v="3"/>
    <n v="732"/>
    <n v="1756.8"/>
    <n v="280.11"/>
  </r>
  <r>
    <s v="ORD0791"/>
    <d v="2024-08-25T00:00:00"/>
    <s v="CUST0791"/>
    <s v="Rahul"/>
    <s v="Male"/>
    <n v="20"/>
    <s v="Bangalore"/>
    <x v="0"/>
    <x v="2"/>
    <x v="0"/>
    <x v="4"/>
    <s v="Returned"/>
    <n v="3"/>
    <n v="42774"/>
    <n v="121905.9"/>
    <n v="41300.300000000003"/>
  </r>
  <r>
    <s v="ORD0792"/>
    <d v="2024-11-13T00:00:00"/>
    <s v="CUST0792"/>
    <s v="Aarav"/>
    <s v="Male"/>
    <n v="24"/>
    <s v="Hyderabad"/>
    <x v="0"/>
    <x v="0"/>
    <x v="1"/>
    <x v="0"/>
    <s v="Delivered"/>
    <n v="4"/>
    <n v="26622"/>
    <n v="95839.2"/>
    <n v="15427.61"/>
  </r>
  <r>
    <s v="ORD0793"/>
    <d v="2024-08-20T00:00:00"/>
    <s v="CUST0793"/>
    <s v="Neha"/>
    <s v="Male"/>
    <n v="21"/>
    <s v="Pune"/>
    <x v="0"/>
    <x v="0"/>
    <x v="2"/>
    <x v="2"/>
    <s v="Pending"/>
    <n v="2"/>
    <n v="18821"/>
    <n v="35759.9"/>
    <n v="13595.49"/>
  </r>
  <r>
    <s v="ORD0794"/>
    <d v="2024-05-30T00:00:00"/>
    <s v="CUST0794"/>
    <s v="Neha"/>
    <s v="Female"/>
    <n v="47"/>
    <s v="Delhi"/>
    <x v="0"/>
    <x v="0"/>
    <x v="1"/>
    <x v="4"/>
    <s v="Delivered"/>
    <n v="2"/>
    <n v="34305"/>
    <n v="54888"/>
    <n v="12630.65"/>
  </r>
  <r>
    <s v="ORD0795"/>
    <d v="2024-01-31T00:00:00"/>
    <s v="CUST0795"/>
    <s v="Sneha"/>
    <s v="Female"/>
    <n v="55"/>
    <s v="Chennai"/>
    <x v="1"/>
    <x v="1"/>
    <x v="4"/>
    <x v="1"/>
    <s v="Cancelled"/>
    <n v="4"/>
    <n v="5599"/>
    <n v="17916.8"/>
    <n v="3382.17"/>
  </r>
  <r>
    <s v="ORD0796"/>
    <d v="2024-01-02T00:00:00"/>
    <s v="CUST0796"/>
    <s v="Ananya"/>
    <s v="Male"/>
    <n v="43"/>
    <s v="Bangalore"/>
    <x v="0"/>
    <x v="1"/>
    <x v="1"/>
    <x v="4"/>
    <s v="Pending"/>
    <n v="3"/>
    <n v="38073"/>
    <n v="102797.1"/>
    <n v="26972.78"/>
  </r>
  <r>
    <s v="ORD0797"/>
    <d v="2024-02-10T00:00:00"/>
    <s v="CUST0797"/>
    <s v="Priya"/>
    <s v="Female"/>
    <n v="56"/>
    <s v="Delhi"/>
    <x v="0"/>
    <x v="2"/>
    <x v="0"/>
    <x v="3"/>
    <s v="Returned"/>
    <n v="4"/>
    <n v="37261"/>
    <n v="126687.4"/>
    <n v="22730.32"/>
  </r>
  <r>
    <s v="ORD0798"/>
    <d v="2024-04-27T00:00:00"/>
    <s v="CUST0798"/>
    <s v="Rohan"/>
    <s v="Male"/>
    <n v="59"/>
    <s v="Hyderabad"/>
    <x v="2"/>
    <x v="0"/>
    <x v="1"/>
    <x v="3"/>
    <s v="Delivered"/>
    <n v="4"/>
    <n v="17329"/>
    <n v="62384.4"/>
    <n v="20616.59"/>
  </r>
  <r>
    <s v="ORD0799"/>
    <d v="2024-11-10T00:00:00"/>
    <s v="CUST0799"/>
    <s v="Aarav"/>
    <s v="Male"/>
    <n v="37"/>
    <s v="Chennai"/>
    <x v="0"/>
    <x v="0"/>
    <x v="0"/>
    <x v="2"/>
    <s v="Cancelled"/>
    <n v="3"/>
    <n v="4572"/>
    <n v="13030.2"/>
    <n v="5174.72"/>
  </r>
  <r>
    <s v="ORD0800"/>
    <d v="2024-11-14T00:00:00"/>
    <s v="CUST0800"/>
    <s v="Vikram"/>
    <s v="Female"/>
    <n v="59"/>
    <s v="Hyderabad"/>
    <x v="2"/>
    <x v="0"/>
    <x v="1"/>
    <x v="4"/>
    <s v="Cancelled"/>
    <n v="1"/>
    <n v="17486"/>
    <n v="15737.4"/>
    <n v="4251.2"/>
  </r>
  <r>
    <s v="ORD0801"/>
    <d v="2024-10-21T00:00:00"/>
    <s v="CUST0801"/>
    <s v="Aarav"/>
    <s v="Female"/>
    <n v="41"/>
    <s v="Mumbai"/>
    <x v="1"/>
    <x v="2"/>
    <x v="1"/>
    <x v="2"/>
    <s v="Pending"/>
    <n v="3"/>
    <n v="49638"/>
    <n v="119131.2"/>
    <n v="35781.14"/>
  </r>
  <r>
    <s v="ORD0802"/>
    <d v="2024-04-06T00:00:00"/>
    <s v="CUST0802"/>
    <s v="Vikram"/>
    <s v="Male"/>
    <n v="57"/>
    <s v="Hyderabad"/>
    <x v="0"/>
    <x v="1"/>
    <x v="0"/>
    <x v="4"/>
    <s v="Pending"/>
    <n v="1"/>
    <n v="45936"/>
    <n v="39045.599999999999"/>
    <n v="14157.99"/>
  </r>
  <r>
    <s v="ORD0803"/>
    <d v="2024-11-21T00:00:00"/>
    <s v="CUST0803"/>
    <s v="Priya"/>
    <s v="Male"/>
    <n v="22"/>
    <s v="Delhi"/>
    <x v="0"/>
    <x v="1"/>
    <x v="1"/>
    <x v="4"/>
    <s v="Cancelled"/>
    <n v="4"/>
    <n v="20550"/>
    <n v="73980"/>
    <n v="24666.65"/>
  </r>
  <r>
    <s v="ORD0804"/>
    <d v="2024-03-14T00:00:00"/>
    <s v="CUST0804"/>
    <s v="Aarav"/>
    <s v="Female"/>
    <n v="44"/>
    <s v="Bangalore"/>
    <x v="1"/>
    <x v="2"/>
    <x v="0"/>
    <x v="3"/>
    <s v="Delivered"/>
    <n v="3"/>
    <n v="22328"/>
    <n v="56936.4"/>
    <n v="21678.53"/>
  </r>
  <r>
    <s v="ORD0805"/>
    <d v="2024-12-25T00:00:00"/>
    <s v="CUST0805"/>
    <s v="Aarav"/>
    <s v="Female"/>
    <n v="46"/>
    <s v="Mumbai"/>
    <x v="1"/>
    <x v="1"/>
    <x v="2"/>
    <x v="0"/>
    <s v="Delivered"/>
    <n v="1"/>
    <n v="16460"/>
    <n v="15637"/>
    <n v="4923.53"/>
  </r>
  <r>
    <s v="ORD0806"/>
    <d v="2024-10-25T00:00:00"/>
    <s v="CUST0806"/>
    <s v="Vikram"/>
    <s v="Female"/>
    <n v="23"/>
    <s v="Pune"/>
    <x v="0"/>
    <x v="2"/>
    <x v="4"/>
    <x v="1"/>
    <s v="Cancelled"/>
    <n v="4"/>
    <n v="4909"/>
    <n v="16690.599999999999"/>
    <n v="3166.02"/>
  </r>
  <r>
    <s v="ORD0807"/>
    <d v="2024-02-28T00:00:00"/>
    <s v="CUST0807"/>
    <s v="Aarav"/>
    <s v="Female"/>
    <n v="28"/>
    <s v="Delhi"/>
    <x v="0"/>
    <x v="2"/>
    <x v="0"/>
    <x v="1"/>
    <s v="Delivered"/>
    <n v="5"/>
    <n v="36408"/>
    <n v="163836"/>
    <n v="33485.230000000003"/>
  </r>
  <r>
    <s v="ORD0808"/>
    <d v="2024-10-17T00:00:00"/>
    <s v="CUST0808"/>
    <s v="Sneha"/>
    <s v="Female"/>
    <n v="44"/>
    <s v="Hyderabad"/>
    <x v="0"/>
    <x v="1"/>
    <x v="2"/>
    <x v="3"/>
    <s v="Pending"/>
    <n v="1"/>
    <n v="16251"/>
    <n v="13813.35"/>
    <n v="3897.08"/>
  </r>
  <r>
    <s v="ORD0809"/>
    <d v="2024-08-24T00:00:00"/>
    <s v="CUST0809"/>
    <s v="Priya"/>
    <s v="Male"/>
    <n v="49"/>
    <s v="Delhi"/>
    <x v="0"/>
    <x v="0"/>
    <x v="4"/>
    <x v="3"/>
    <s v="Delivered"/>
    <n v="4"/>
    <n v="49218"/>
    <n v="167341.20000000001"/>
    <n v="28858.79"/>
  </r>
  <r>
    <s v="ORD0810"/>
    <d v="2024-06-11T00:00:00"/>
    <s v="CUST0810"/>
    <s v="Priya"/>
    <s v="Female"/>
    <n v="55"/>
    <s v="Pune"/>
    <x v="0"/>
    <x v="1"/>
    <x v="3"/>
    <x v="4"/>
    <s v="Delivered"/>
    <n v="5"/>
    <n v="4178"/>
    <n v="19845.5"/>
    <n v="3420.41"/>
  </r>
  <r>
    <s v="ORD0811"/>
    <d v="2024-09-24T00:00:00"/>
    <s v="CUST0811"/>
    <s v="Amit"/>
    <s v="Male"/>
    <n v="52"/>
    <s v="Pune"/>
    <x v="0"/>
    <x v="1"/>
    <x v="0"/>
    <x v="2"/>
    <s v="Pending"/>
    <n v="3"/>
    <n v="29806"/>
    <n v="71534.399999999994"/>
    <n v="17469.330000000002"/>
  </r>
  <r>
    <s v="ORD0812"/>
    <d v="2024-01-21T00:00:00"/>
    <s v="CUST0812"/>
    <s v="Sneha"/>
    <s v="Male"/>
    <n v="38"/>
    <s v="Bangalore"/>
    <x v="0"/>
    <x v="1"/>
    <x v="3"/>
    <x v="2"/>
    <s v="Pending"/>
    <n v="5"/>
    <n v="31096"/>
    <n v="155480"/>
    <n v="60570.31"/>
  </r>
  <r>
    <s v="ORD0813"/>
    <d v="2024-06-19T00:00:00"/>
    <s v="CUST0813"/>
    <s v="Pooja"/>
    <s v="Female"/>
    <n v="47"/>
    <s v="Chennai"/>
    <x v="1"/>
    <x v="1"/>
    <x v="2"/>
    <x v="2"/>
    <s v="Returned"/>
    <n v="4"/>
    <n v="4509"/>
    <n v="15330.6"/>
    <n v="4689.84"/>
  </r>
  <r>
    <s v="ORD0814"/>
    <d v="2024-04-02T00:00:00"/>
    <s v="CUST0814"/>
    <s v="Sneha"/>
    <s v="Male"/>
    <n v="47"/>
    <s v="Mumbai"/>
    <x v="1"/>
    <x v="0"/>
    <x v="2"/>
    <x v="4"/>
    <s v="Returned"/>
    <n v="3"/>
    <n v="45168"/>
    <n v="115178.4"/>
    <n v="18496.97"/>
  </r>
  <r>
    <s v="ORD0815"/>
    <d v="2024-02-05T00:00:00"/>
    <s v="CUST0815"/>
    <s v="Priya"/>
    <s v="Female"/>
    <n v="21"/>
    <s v="Pune"/>
    <x v="0"/>
    <x v="1"/>
    <x v="0"/>
    <x v="1"/>
    <s v="Returned"/>
    <n v="5"/>
    <n v="48720"/>
    <n v="219240"/>
    <n v="70101.570000000007"/>
  </r>
  <r>
    <s v="ORD0816"/>
    <d v="2024-10-14T00:00:00"/>
    <s v="CUST0816"/>
    <s v="Vikram"/>
    <s v="Female"/>
    <n v="47"/>
    <s v="Bangalore"/>
    <x v="1"/>
    <x v="2"/>
    <x v="1"/>
    <x v="2"/>
    <s v="Delivered"/>
    <n v="4"/>
    <n v="9585"/>
    <n v="38340"/>
    <n v="7994.29"/>
  </r>
  <r>
    <s v="ORD0817"/>
    <d v="2024-02-15T00:00:00"/>
    <s v="CUST0817"/>
    <s v="Neha"/>
    <s v="Male"/>
    <n v="18"/>
    <s v="Pune"/>
    <x v="1"/>
    <x v="2"/>
    <x v="3"/>
    <x v="0"/>
    <s v="Pending"/>
    <n v="4"/>
    <n v="31805"/>
    <n v="127220"/>
    <n v="41591.019999999997"/>
  </r>
  <r>
    <s v="ORD0818"/>
    <d v="2024-09-03T00:00:00"/>
    <s v="CUST0818"/>
    <s v="Rahul"/>
    <s v="Male"/>
    <n v="41"/>
    <s v="Chennai"/>
    <x v="1"/>
    <x v="2"/>
    <x v="4"/>
    <x v="3"/>
    <s v="Pending"/>
    <n v="1"/>
    <n v="41572"/>
    <n v="41572"/>
    <n v="7433.78"/>
  </r>
  <r>
    <s v="ORD0819"/>
    <d v="2024-06-15T00:00:00"/>
    <s v="CUST0819"/>
    <s v="Ananya"/>
    <s v="Female"/>
    <n v="29"/>
    <s v="Chennai"/>
    <x v="0"/>
    <x v="0"/>
    <x v="4"/>
    <x v="2"/>
    <s v="Returned"/>
    <n v="2"/>
    <n v="25864"/>
    <n v="43968.800000000003"/>
    <n v="16742.12"/>
  </r>
  <r>
    <s v="ORD0820"/>
    <d v="2024-07-05T00:00:00"/>
    <s v="CUST0820"/>
    <s v="Priya"/>
    <s v="Female"/>
    <n v="35"/>
    <s v="Bangalore"/>
    <x v="0"/>
    <x v="0"/>
    <x v="0"/>
    <x v="1"/>
    <s v="Pending"/>
    <n v="2"/>
    <n v="39397"/>
    <n v="74854.3"/>
    <n v="13202.37"/>
  </r>
  <r>
    <s v="ORD0821"/>
    <d v="2024-04-28T00:00:00"/>
    <s v="CUST0821"/>
    <s v="Ananya"/>
    <s v="Male"/>
    <n v="31"/>
    <s v="Hyderabad"/>
    <x v="1"/>
    <x v="2"/>
    <x v="4"/>
    <x v="0"/>
    <s v="Returned"/>
    <n v="5"/>
    <n v="21500"/>
    <n v="86000"/>
    <n v="22002.76"/>
  </r>
  <r>
    <s v="ORD0822"/>
    <d v="2024-09-24T00:00:00"/>
    <s v="CUST0822"/>
    <s v="Rahul"/>
    <s v="Female"/>
    <n v="32"/>
    <s v="Bangalore"/>
    <x v="2"/>
    <x v="1"/>
    <x v="0"/>
    <x v="2"/>
    <s v="Pending"/>
    <n v="3"/>
    <n v="8512"/>
    <n v="22982.400000000001"/>
    <n v="8012.68"/>
  </r>
  <r>
    <s v="ORD0823"/>
    <d v="2024-06-16T00:00:00"/>
    <s v="CUST0823"/>
    <s v="Aarav"/>
    <s v="Female"/>
    <n v="38"/>
    <s v="Bangalore"/>
    <x v="0"/>
    <x v="2"/>
    <x v="4"/>
    <x v="1"/>
    <s v="Cancelled"/>
    <n v="1"/>
    <n v="36548"/>
    <n v="29238.400000000001"/>
    <n v="5850.81"/>
  </r>
  <r>
    <s v="ORD0824"/>
    <d v="2024-01-31T00:00:00"/>
    <s v="CUST0824"/>
    <s v="Priya"/>
    <s v="Female"/>
    <n v="51"/>
    <s v="Chennai"/>
    <x v="1"/>
    <x v="0"/>
    <x v="1"/>
    <x v="1"/>
    <s v="Delivered"/>
    <n v="3"/>
    <n v="31877"/>
    <n v="95631"/>
    <n v="22071.93"/>
  </r>
  <r>
    <s v="ORD0825"/>
    <d v="2024-11-05T00:00:00"/>
    <s v="CUST0825"/>
    <s v="Vikram"/>
    <s v="Female"/>
    <n v="21"/>
    <s v="Mumbai"/>
    <x v="2"/>
    <x v="1"/>
    <x v="4"/>
    <x v="0"/>
    <s v="Returned"/>
    <n v="5"/>
    <n v="10303"/>
    <n v="46363.5"/>
    <n v="14492.17"/>
  </r>
  <r>
    <s v="ORD0826"/>
    <d v="2024-03-04T00:00:00"/>
    <s v="CUST0826"/>
    <s v="Pooja"/>
    <s v="Male"/>
    <n v="50"/>
    <s v="Hyderabad"/>
    <x v="0"/>
    <x v="1"/>
    <x v="0"/>
    <x v="2"/>
    <s v="Returned"/>
    <n v="3"/>
    <n v="9240"/>
    <n v="24948"/>
    <n v="5095.2299999999996"/>
  </r>
  <r>
    <s v="ORD0827"/>
    <d v="2024-05-13T00:00:00"/>
    <s v="CUST0827"/>
    <s v="Amit"/>
    <s v="Male"/>
    <n v="57"/>
    <s v="Chennai"/>
    <x v="1"/>
    <x v="0"/>
    <x v="0"/>
    <x v="3"/>
    <s v="Cancelled"/>
    <n v="4"/>
    <n v="14793"/>
    <n v="53254.8"/>
    <n v="13211.74"/>
  </r>
  <r>
    <s v="ORD0828"/>
    <d v="2024-10-29T00:00:00"/>
    <s v="CUST0828"/>
    <s v="Aarav"/>
    <s v="Female"/>
    <n v="44"/>
    <s v="Hyderabad"/>
    <x v="0"/>
    <x v="0"/>
    <x v="1"/>
    <x v="0"/>
    <s v="Cancelled"/>
    <n v="4"/>
    <n v="28924"/>
    <n v="104126.39999999999"/>
    <n v="15668.5"/>
  </r>
  <r>
    <s v="ORD0829"/>
    <d v="2024-03-26T00:00:00"/>
    <s v="CUST0829"/>
    <s v="Priya"/>
    <s v="Female"/>
    <n v="20"/>
    <s v="Pune"/>
    <x v="1"/>
    <x v="0"/>
    <x v="2"/>
    <x v="1"/>
    <s v="Pending"/>
    <n v="4"/>
    <n v="43811"/>
    <n v="148957.4"/>
    <n v="32745.41"/>
  </r>
  <r>
    <s v="ORD0830"/>
    <d v="2024-09-29T00:00:00"/>
    <s v="CUST0830"/>
    <s v="Neha"/>
    <s v="Male"/>
    <n v="45"/>
    <s v="Delhi"/>
    <x v="0"/>
    <x v="2"/>
    <x v="2"/>
    <x v="3"/>
    <s v="Cancelled"/>
    <n v="3"/>
    <n v="27295"/>
    <n v="81885"/>
    <n v="15145.2"/>
  </r>
  <r>
    <s v="ORD0831"/>
    <d v="2024-02-22T00:00:00"/>
    <s v="CUST0831"/>
    <s v="Aarav"/>
    <s v="Male"/>
    <n v="52"/>
    <s v="Chennai"/>
    <x v="1"/>
    <x v="1"/>
    <x v="1"/>
    <x v="1"/>
    <s v="Pending"/>
    <n v="4"/>
    <n v="12124"/>
    <n v="48496"/>
    <n v="15750.39"/>
  </r>
  <r>
    <s v="ORD0832"/>
    <d v="2024-11-13T00:00:00"/>
    <s v="CUST0832"/>
    <s v="Rohan"/>
    <s v="Female"/>
    <n v="19"/>
    <s v="Hyderabad"/>
    <x v="0"/>
    <x v="0"/>
    <x v="0"/>
    <x v="1"/>
    <s v="Returned"/>
    <n v="2"/>
    <n v="28391"/>
    <n v="53942.9"/>
    <n v="14495.33"/>
  </r>
  <r>
    <s v="ORD0833"/>
    <d v="2024-06-06T00:00:00"/>
    <s v="CUST0833"/>
    <s v="Priya"/>
    <s v="Female"/>
    <n v="30"/>
    <s v="Chennai"/>
    <x v="0"/>
    <x v="0"/>
    <x v="2"/>
    <x v="2"/>
    <s v="Cancelled"/>
    <n v="5"/>
    <n v="6038"/>
    <n v="24152"/>
    <n v="8560.2999999999993"/>
  </r>
  <r>
    <s v="ORD0834"/>
    <d v="2024-12-28T00:00:00"/>
    <s v="CUST0834"/>
    <s v="Amit"/>
    <s v="Female"/>
    <n v="58"/>
    <s v="Chennai"/>
    <x v="0"/>
    <x v="1"/>
    <x v="0"/>
    <x v="0"/>
    <s v="Returned"/>
    <n v="2"/>
    <n v="49529"/>
    <n v="84199.3"/>
    <n v="25078.5"/>
  </r>
  <r>
    <s v="ORD0835"/>
    <d v="2024-09-02T00:00:00"/>
    <s v="CUST0835"/>
    <s v="Pooja"/>
    <s v="Male"/>
    <n v="39"/>
    <s v="Chennai"/>
    <x v="2"/>
    <x v="1"/>
    <x v="3"/>
    <x v="2"/>
    <s v="Returned"/>
    <n v="3"/>
    <n v="41439"/>
    <n v="99453.6"/>
    <n v="15600.42"/>
  </r>
  <r>
    <s v="ORD0836"/>
    <d v="2024-03-17T00:00:00"/>
    <s v="CUST0836"/>
    <s v="Rohan"/>
    <s v="Female"/>
    <n v="56"/>
    <s v="Bangalore"/>
    <x v="0"/>
    <x v="1"/>
    <x v="0"/>
    <x v="4"/>
    <s v="Cancelled"/>
    <n v="5"/>
    <n v="14765"/>
    <n v="66442.5"/>
    <n v="13674.56"/>
  </r>
  <r>
    <s v="ORD0837"/>
    <d v="2024-11-06T00:00:00"/>
    <s v="CUST0837"/>
    <s v="Sneha"/>
    <s v="Male"/>
    <n v="38"/>
    <s v="Pune"/>
    <x v="0"/>
    <x v="2"/>
    <x v="2"/>
    <x v="0"/>
    <s v="Returned"/>
    <n v="1"/>
    <n v="31649"/>
    <n v="26901.65"/>
    <n v="5545.43"/>
  </r>
  <r>
    <s v="ORD0838"/>
    <d v="2024-11-29T00:00:00"/>
    <s v="CUST0838"/>
    <s v="Ananya"/>
    <s v="Female"/>
    <n v="46"/>
    <s v="Mumbai"/>
    <x v="2"/>
    <x v="1"/>
    <x v="0"/>
    <x v="1"/>
    <s v="Returned"/>
    <n v="1"/>
    <n v="42974"/>
    <n v="36527.9"/>
    <n v="8519.15"/>
  </r>
  <r>
    <s v="ORD0839"/>
    <d v="2024-09-16T00:00:00"/>
    <s v="CUST0839"/>
    <s v="Vikram"/>
    <s v="Male"/>
    <n v="18"/>
    <s v="Chennai"/>
    <x v="2"/>
    <x v="0"/>
    <x v="0"/>
    <x v="2"/>
    <s v="Delivered"/>
    <n v="1"/>
    <n v="31166"/>
    <n v="31166"/>
    <n v="12092.77"/>
  </r>
  <r>
    <s v="ORD0840"/>
    <d v="2024-01-30T00:00:00"/>
    <s v="CUST0840"/>
    <s v="Vikram"/>
    <s v="Male"/>
    <n v="54"/>
    <s v="Mumbai"/>
    <x v="1"/>
    <x v="1"/>
    <x v="4"/>
    <x v="0"/>
    <s v="Returned"/>
    <n v="2"/>
    <n v="11822"/>
    <n v="21279.599999999999"/>
    <n v="5183.12"/>
  </r>
  <r>
    <s v="ORD0841"/>
    <d v="2024-11-10T00:00:00"/>
    <s v="CUST0841"/>
    <s v="Aarav"/>
    <s v="Male"/>
    <n v="27"/>
    <s v="Mumbai"/>
    <x v="0"/>
    <x v="0"/>
    <x v="1"/>
    <x v="1"/>
    <s v="Returned"/>
    <n v="2"/>
    <n v="24936"/>
    <n v="42391.199999999997"/>
    <n v="6517.61"/>
  </r>
  <r>
    <s v="ORD0842"/>
    <d v="2024-12-22T00:00:00"/>
    <s v="CUST0842"/>
    <s v="Ananya"/>
    <s v="Female"/>
    <n v="26"/>
    <s v="Pune"/>
    <x v="0"/>
    <x v="1"/>
    <x v="1"/>
    <x v="0"/>
    <s v="Pending"/>
    <n v="3"/>
    <n v="42824"/>
    <n v="128472"/>
    <n v="25764.07"/>
  </r>
  <r>
    <s v="ORD0843"/>
    <d v="2024-06-09T00:00:00"/>
    <s v="CUST0843"/>
    <s v="Rohan"/>
    <s v="Female"/>
    <n v="21"/>
    <s v="Bangalore"/>
    <x v="0"/>
    <x v="1"/>
    <x v="2"/>
    <x v="0"/>
    <s v="Cancelled"/>
    <n v="5"/>
    <n v="27003"/>
    <n v="108012"/>
    <n v="27629.79"/>
  </r>
  <r>
    <s v="ORD0844"/>
    <d v="2024-06-16T00:00:00"/>
    <s v="CUST0844"/>
    <s v="Neha"/>
    <s v="Female"/>
    <n v="38"/>
    <s v="Chennai"/>
    <x v="0"/>
    <x v="1"/>
    <x v="3"/>
    <x v="3"/>
    <s v="Delivered"/>
    <n v="2"/>
    <n v="18043"/>
    <n v="28868.799999999999"/>
    <n v="5694.99"/>
  </r>
  <r>
    <s v="ORD0845"/>
    <d v="2024-10-22T00:00:00"/>
    <s v="CUST0845"/>
    <s v="Neha"/>
    <s v="Male"/>
    <n v="21"/>
    <s v="Mumbai"/>
    <x v="0"/>
    <x v="1"/>
    <x v="1"/>
    <x v="0"/>
    <s v="Cancelled"/>
    <n v="2"/>
    <n v="42837"/>
    <n v="68539.199999999997"/>
    <n v="17269.66"/>
  </r>
  <r>
    <s v="ORD0846"/>
    <d v="2024-08-07T00:00:00"/>
    <s v="CUST0846"/>
    <s v="Rohan"/>
    <s v="Female"/>
    <n v="48"/>
    <s v="Hyderabad"/>
    <x v="0"/>
    <x v="0"/>
    <x v="1"/>
    <x v="0"/>
    <s v="Delivered"/>
    <n v="5"/>
    <n v="1164"/>
    <n v="5820"/>
    <n v="1017.46"/>
  </r>
  <r>
    <s v="ORD0847"/>
    <d v="2024-11-17T00:00:00"/>
    <s v="CUST0847"/>
    <s v="Sneha"/>
    <s v="Male"/>
    <n v="30"/>
    <s v="Chennai"/>
    <x v="0"/>
    <x v="2"/>
    <x v="4"/>
    <x v="4"/>
    <s v="Pending"/>
    <n v="3"/>
    <n v="17572"/>
    <n v="44808.6"/>
    <n v="7334.37"/>
  </r>
  <r>
    <s v="ORD0848"/>
    <d v="2024-03-28T00:00:00"/>
    <s v="CUST0848"/>
    <s v="Priya"/>
    <s v="Female"/>
    <n v="60"/>
    <s v="Delhi"/>
    <x v="0"/>
    <x v="0"/>
    <x v="2"/>
    <x v="0"/>
    <s v="Returned"/>
    <n v="3"/>
    <n v="41222"/>
    <n v="123666"/>
    <n v="31395.03"/>
  </r>
  <r>
    <s v="ORD0849"/>
    <d v="2024-04-12T00:00:00"/>
    <s v="CUST0849"/>
    <s v="Rahul"/>
    <s v="Female"/>
    <n v="40"/>
    <s v="Chennai"/>
    <x v="1"/>
    <x v="2"/>
    <x v="0"/>
    <x v="1"/>
    <s v="Delivered"/>
    <n v="2"/>
    <n v="42495"/>
    <n v="80740.5"/>
    <n v="25603.81"/>
  </r>
  <r>
    <s v="ORD0850"/>
    <d v="2024-08-21T00:00:00"/>
    <s v="CUST0850"/>
    <s v="Ananya"/>
    <s v="Female"/>
    <n v="44"/>
    <s v="Pune"/>
    <x v="0"/>
    <x v="1"/>
    <x v="3"/>
    <x v="2"/>
    <s v="Pending"/>
    <n v="1"/>
    <n v="26750"/>
    <n v="22737.5"/>
    <n v="5344.94"/>
  </r>
  <r>
    <s v="ORD0851"/>
    <d v="2024-06-26T00:00:00"/>
    <s v="CUST0851"/>
    <s v="Pooja"/>
    <s v="Male"/>
    <n v="34"/>
    <s v="Delhi"/>
    <x v="2"/>
    <x v="2"/>
    <x v="3"/>
    <x v="2"/>
    <s v="Pending"/>
    <n v="5"/>
    <n v="3254"/>
    <n v="14643"/>
    <n v="3962.4"/>
  </r>
  <r>
    <s v="ORD0852"/>
    <d v="2024-08-01T00:00:00"/>
    <s v="CUST0852"/>
    <s v="Neha"/>
    <s v="Male"/>
    <n v="59"/>
    <s v="Hyderabad"/>
    <x v="0"/>
    <x v="2"/>
    <x v="4"/>
    <x v="2"/>
    <s v="Cancelled"/>
    <n v="4"/>
    <n v="18749"/>
    <n v="63746.6"/>
    <n v="21202.17"/>
  </r>
  <r>
    <s v="ORD0853"/>
    <d v="2024-05-08T00:00:00"/>
    <s v="CUST0853"/>
    <s v="Priya"/>
    <s v="Female"/>
    <n v="42"/>
    <s v="Bangalore"/>
    <x v="2"/>
    <x v="1"/>
    <x v="4"/>
    <x v="0"/>
    <s v="Returned"/>
    <n v="4"/>
    <n v="1223"/>
    <n v="4402.8"/>
    <n v="730.83"/>
  </r>
  <r>
    <s v="ORD0854"/>
    <d v="2024-02-29T00:00:00"/>
    <s v="CUST0854"/>
    <s v="Sneha"/>
    <s v="Female"/>
    <n v="30"/>
    <s v="Bangalore"/>
    <x v="0"/>
    <x v="1"/>
    <x v="1"/>
    <x v="4"/>
    <s v="Returned"/>
    <n v="5"/>
    <n v="11822"/>
    <n v="59110"/>
    <n v="17828.97"/>
  </r>
  <r>
    <s v="ORD0855"/>
    <d v="2024-03-18T00:00:00"/>
    <s v="CUST0855"/>
    <s v="Rohan"/>
    <s v="Male"/>
    <n v="20"/>
    <s v="Mumbai"/>
    <x v="2"/>
    <x v="0"/>
    <x v="4"/>
    <x v="2"/>
    <s v="Returned"/>
    <n v="1"/>
    <n v="25383"/>
    <n v="22844.7"/>
    <n v="5957.47"/>
  </r>
  <r>
    <s v="ORD0856"/>
    <d v="2024-08-04T00:00:00"/>
    <s v="CUST0856"/>
    <s v="Sneha"/>
    <s v="Male"/>
    <n v="52"/>
    <s v="Mumbai"/>
    <x v="1"/>
    <x v="0"/>
    <x v="2"/>
    <x v="0"/>
    <s v="Cancelled"/>
    <n v="4"/>
    <n v="11215"/>
    <n v="38131"/>
    <n v="9230.4599999999991"/>
  </r>
  <r>
    <s v="ORD0857"/>
    <d v="2024-04-23T00:00:00"/>
    <s v="CUST0857"/>
    <s v="Amit"/>
    <s v="Male"/>
    <n v="39"/>
    <s v="Pune"/>
    <x v="1"/>
    <x v="1"/>
    <x v="3"/>
    <x v="0"/>
    <s v="Returned"/>
    <n v="5"/>
    <n v="11436"/>
    <n v="54321"/>
    <n v="15471.4"/>
  </r>
  <r>
    <s v="ORD0858"/>
    <d v="2024-05-07T00:00:00"/>
    <s v="CUST0858"/>
    <s v="Aarav"/>
    <s v="Female"/>
    <n v="44"/>
    <s v="Pune"/>
    <x v="0"/>
    <x v="2"/>
    <x v="3"/>
    <x v="1"/>
    <s v="Cancelled"/>
    <n v="3"/>
    <n v="47935"/>
    <n v="122234.25"/>
    <n v="45895.91"/>
  </r>
  <r>
    <s v="ORD0859"/>
    <d v="2024-11-07T00:00:00"/>
    <s v="CUST0859"/>
    <s v="Rahul"/>
    <s v="Male"/>
    <n v="22"/>
    <s v="Mumbai"/>
    <x v="1"/>
    <x v="0"/>
    <x v="4"/>
    <x v="1"/>
    <s v="Returned"/>
    <n v="2"/>
    <n v="17770"/>
    <n v="30209"/>
    <n v="6090.72"/>
  </r>
  <r>
    <s v="ORD0860"/>
    <d v="2024-08-05T00:00:00"/>
    <s v="CUST0860"/>
    <s v="Amit"/>
    <s v="Male"/>
    <n v="43"/>
    <s v="Delhi"/>
    <x v="0"/>
    <x v="1"/>
    <x v="0"/>
    <x v="3"/>
    <s v="Returned"/>
    <n v="4"/>
    <n v="40698"/>
    <n v="138373.20000000001"/>
    <n v="34125.089999999997"/>
  </r>
  <r>
    <s v="ORD0861"/>
    <d v="2024-08-08T00:00:00"/>
    <s v="CUST0861"/>
    <s v="Ananya"/>
    <s v="Female"/>
    <n v="22"/>
    <s v="Hyderabad"/>
    <x v="0"/>
    <x v="1"/>
    <x v="2"/>
    <x v="2"/>
    <s v="Returned"/>
    <n v="3"/>
    <n v="23670"/>
    <n v="63909"/>
    <n v="11201.33"/>
  </r>
  <r>
    <s v="ORD0862"/>
    <d v="2024-06-28T00:00:00"/>
    <s v="CUST0862"/>
    <s v="Vikram"/>
    <s v="Female"/>
    <n v="43"/>
    <s v="Chennai"/>
    <x v="1"/>
    <x v="2"/>
    <x v="1"/>
    <x v="4"/>
    <s v="Returned"/>
    <n v="2"/>
    <n v="29362"/>
    <n v="52851.6"/>
    <n v="20619.21"/>
  </r>
  <r>
    <s v="ORD0863"/>
    <d v="2024-02-24T00:00:00"/>
    <s v="CUST0863"/>
    <s v="Ananya"/>
    <s v="Male"/>
    <n v="56"/>
    <s v="Mumbai"/>
    <x v="0"/>
    <x v="1"/>
    <x v="2"/>
    <x v="2"/>
    <s v="Delivered"/>
    <n v="5"/>
    <n v="11227"/>
    <n v="53328.25"/>
    <n v="15688.73"/>
  </r>
  <r>
    <s v="ORD0864"/>
    <d v="2024-01-17T00:00:00"/>
    <s v="CUST0864"/>
    <s v="Aarav"/>
    <s v="Female"/>
    <n v="44"/>
    <s v="Mumbai"/>
    <x v="0"/>
    <x v="0"/>
    <x v="3"/>
    <x v="2"/>
    <s v="Delivered"/>
    <n v="3"/>
    <n v="5316"/>
    <n v="13555.8"/>
    <n v="3170.72"/>
  </r>
  <r>
    <s v="ORD0865"/>
    <d v="2024-10-16T00:00:00"/>
    <s v="CUST0865"/>
    <s v="Vikram"/>
    <s v="Female"/>
    <n v="18"/>
    <s v="Delhi"/>
    <x v="1"/>
    <x v="0"/>
    <x v="2"/>
    <x v="1"/>
    <s v="Delivered"/>
    <n v="4"/>
    <n v="32287"/>
    <n v="116233.2"/>
    <n v="29009.62"/>
  </r>
  <r>
    <s v="ORD0866"/>
    <d v="2024-04-20T00:00:00"/>
    <s v="CUST0866"/>
    <s v="Rohan"/>
    <s v="Female"/>
    <n v="21"/>
    <s v="Delhi"/>
    <x v="2"/>
    <x v="2"/>
    <x v="1"/>
    <x v="2"/>
    <s v="Returned"/>
    <n v="4"/>
    <n v="26175"/>
    <n v="94230"/>
    <n v="24218.26"/>
  </r>
  <r>
    <s v="ORD0867"/>
    <d v="2024-02-01T00:00:00"/>
    <s v="CUST0867"/>
    <s v="Ananya"/>
    <s v="Male"/>
    <n v="33"/>
    <s v="Hyderabad"/>
    <x v="0"/>
    <x v="2"/>
    <x v="0"/>
    <x v="0"/>
    <s v="Pending"/>
    <n v="4"/>
    <n v="35517"/>
    <n v="113654.39999999999"/>
    <n v="21444.17"/>
  </r>
  <r>
    <s v="ORD0868"/>
    <d v="2024-07-07T00:00:00"/>
    <s v="CUST0868"/>
    <s v="Rohan"/>
    <s v="Female"/>
    <n v="57"/>
    <s v="Hyderabad"/>
    <x v="1"/>
    <x v="1"/>
    <x v="3"/>
    <x v="4"/>
    <s v="Pending"/>
    <n v="4"/>
    <n v="39189"/>
    <n v="141080.4"/>
    <n v="44833.87"/>
  </r>
  <r>
    <s v="ORD0869"/>
    <d v="2024-08-11T00:00:00"/>
    <s v="CUST0869"/>
    <s v="Pooja"/>
    <s v="Male"/>
    <n v="34"/>
    <s v="Chennai"/>
    <x v="0"/>
    <x v="2"/>
    <x v="1"/>
    <x v="2"/>
    <s v="Returned"/>
    <n v="1"/>
    <n v="6339"/>
    <n v="5705.1"/>
    <n v="1124.1099999999999"/>
  </r>
  <r>
    <s v="ORD0870"/>
    <d v="2024-10-27T00:00:00"/>
    <s v="CUST0870"/>
    <s v="Aarav"/>
    <s v="Female"/>
    <n v="23"/>
    <s v="Mumbai"/>
    <x v="0"/>
    <x v="0"/>
    <x v="1"/>
    <x v="4"/>
    <s v="Pending"/>
    <n v="3"/>
    <n v="22601"/>
    <n v="57632.55"/>
    <n v="14567.24"/>
  </r>
  <r>
    <s v="ORD0871"/>
    <d v="2024-12-18T00:00:00"/>
    <s v="CUST0871"/>
    <s v="Rohan"/>
    <s v="Male"/>
    <n v="42"/>
    <s v="Hyderabad"/>
    <x v="1"/>
    <x v="0"/>
    <x v="3"/>
    <x v="1"/>
    <s v="Returned"/>
    <n v="5"/>
    <n v="24531"/>
    <n v="98124"/>
    <n v="17287.310000000001"/>
  </r>
  <r>
    <s v="ORD0872"/>
    <d v="2024-09-16T00:00:00"/>
    <s v="CUST0872"/>
    <s v="Rohan"/>
    <s v="Female"/>
    <n v="54"/>
    <s v="Chennai"/>
    <x v="1"/>
    <x v="0"/>
    <x v="2"/>
    <x v="0"/>
    <s v="Pending"/>
    <n v="3"/>
    <n v="34651"/>
    <n v="83162.399999999994"/>
    <n v="16086.53"/>
  </r>
  <r>
    <s v="ORD0873"/>
    <d v="2024-04-09T00:00:00"/>
    <s v="CUST0873"/>
    <s v="Ananya"/>
    <s v="Female"/>
    <n v="30"/>
    <s v="Pune"/>
    <x v="1"/>
    <x v="1"/>
    <x v="1"/>
    <x v="4"/>
    <s v="Returned"/>
    <n v="3"/>
    <n v="49398"/>
    <n v="133374.6"/>
    <n v="39869.19"/>
  </r>
  <r>
    <s v="ORD0874"/>
    <d v="2024-07-14T00:00:00"/>
    <s v="CUST0874"/>
    <s v="Aarav"/>
    <s v="Male"/>
    <n v="27"/>
    <s v="Delhi"/>
    <x v="0"/>
    <x v="1"/>
    <x v="4"/>
    <x v="3"/>
    <s v="Cancelled"/>
    <n v="5"/>
    <n v="47749"/>
    <n v="190996"/>
    <n v="69196.820000000007"/>
  </r>
  <r>
    <s v="ORD0875"/>
    <d v="2024-11-04T00:00:00"/>
    <s v="CUST0875"/>
    <s v="Vikram"/>
    <s v="Male"/>
    <n v="29"/>
    <s v="Hyderabad"/>
    <x v="1"/>
    <x v="2"/>
    <x v="4"/>
    <x v="2"/>
    <s v="Pending"/>
    <n v="5"/>
    <n v="39012"/>
    <n v="165801"/>
    <n v="64789.4"/>
  </r>
  <r>
    <s v="ORD0876"/>
    <d v="2024-06-04T00:00:00"/>
    <s v="CUST0876"/>
    <s v="Pooja"/>
    <s v="Male"/>
    <n v="22"/>
    <s v="Mumbai"/>
    <x v="1"/>
    <x v="2"/>
    <x v="2"/>
    <x v="3"/>
    <s v="Pending"/>
    <n v="1"/>
    <n v="15230"/>
    <n v="12184"/>
    <n v="3598.74"/>
  </r>
  <r>
    <s v="ORD0877"/>
    <d v="2024-01-06T00:00:00"/>
    <s v="CUST0877"/>
    <s v="Rohan"/>
    <s v="Male"/>
    <n v="44"/>
    <s v="Hyderabad"/>
    <x v="2"/>
    <x v="0"/>
    <x v="4"/>
    <x v="3"/>
    <s v="Delivered"/>
    <n v="4"/>
    <n v="35773"/>
    <n v="121628.2"/>
    <n v="39832.33"/>
  </r>
  <r>
    <s v="ORD0878"/>
    <d v="2024-11-01T00:00:00"/>
    <s v="CUST0878"/>
    <s v="Vikram"/>
    <s v="Female"/>
    <n v="54"/>
    <s v="Mumbai"/>
    <x v="2"/>
    <x v="0"/>
    <x v="4"/>
    <x v="3"/>
    <s v="Pending"/>
    <n v="4"/>
    <n v="32021"/>
    <n v="128084"/>
    <n v="50562.67"/>
  </r>
  <r>
    <s v="ORD0879"/>
    <d v="2024-03-27T00:00:00"/>
    <s v="CUST0879"/>
    <s v="Rahul"/>
    <s v="Female"/>
    <n v="57"/>
    <s v="Chennai"/>
    <x v="0"/>
    <x v="0"/>
    <x v="0"/>
    <x v="3"/>
    <s v="Returned"/>
    <n v="1"/>
    <n v="7446"/>
    <n v="5956.8"/>
    <n v="1903.17"/>
  </r>
  <r>
    <s v="ORD0880"/>
    <d v="2024-01-05T00:00:00"/>
    <s v="CUST0880"/>
    <s v="Rahul"/>
    <s v="Female"/>
    <n v="26"/>
    <s v="Hyderabad"/>
    <x v="0"/>
    <x v="1"/>
    <x v="4"/>
    <x v="1"/>
    <s v="Returned"/>
    <n v="1"/>
    <n v="38815"/>
    <n v="38815"/>
    <n v="12125.09"/>
  </r>
  <r>
    <s v="ORD0881"/>
    <d v="2024-12-13T00:00:00"/>
    <s v="CUST0881"/>
    <s v="Rohan"/>
    <s v="Female"/>
    <n v="47"/>
    <s v="Chennai"/>
    <x v="1"/>
    <x v="1"/>
    <x v="1"/>
    <x v="0"/>
    <s v="Pending"/>
    <n v="5"/>
    <n v="48169"/>
    <n v="228802.75"/>
    <n v="36892.04"/>
  </r>
  <r>
    <s v="ORD0882"/>
    <d v="2024-11-17T00:00:00"/>
    <s v="CUST0882"/>
    <s v="Sneha"/>
    <s v="Female"/>
    <n v="59"/>
    <s v="Bangalore"/>
    <x v="0"/>
    <x v="0"/>
    <x v="4"/>
    <x v="0"/>
    <s v="Cancelled"/>
    <n v="2"/>
    <n v="23713"/>
    <n v="40312.1"/>
    <n v="9615.3700000000008"/>
  </r>
  <r>
    <s v="ORD0883"/>
    <d v="2024-09-20T00:00:00"/>
    <s v="CUST0883"/>
    <s v="Pooja"/>
    <s v="Female"/>
    <n v="24"/>
    <s v="Bangalore"/>
    <x v="2"/>
    <x v="1"/>
    <x v="0"/>
    <x v="4"/>
    <s v="Cancelled"/>
    <n v="3"/>
    <n v="44627"/>
    <n v="113798.85"/>
    <n v="19016.04"/>
  </r>
  <r>
    <s v="ORD0884"/>
    <d v="2024-06-25T00:00:00"/>
    <s v="CUST0884"/>
    <s v="Priya"/>
    <s v="Male"/>
    <n v="34"/>
    <s v="Mumbai"/>
    <x v="0"/>
    <x v="1"/>
    <x v="1"/>
    <x v="0"/>
    <s v="Pending"/>
    <n v="4"/>
    <n v="19249"/>
    <n v="61596.800000000003"/>
    <n v="18945.71"/>
  </r>
  <r>
    <s v="ORD0885"/>
    <d v="2024-10-19T00:00:00"/>
    <s v="CUST0885"/>
    <s v="Amit"/>
    <s v="Female"/>
    <n v="22"/>
    <s v="Pune"/>
    <x v="0"/>
    <x v="0"/>
    <x v="0"/>
    <x v="1"/>
    <s v="Delivered"/>
    <n v="3"/>
    <n v="17513"/>
    <n v="49912.05"/>
    <n v="8730.31"/>
  </r>
  <r>
    <s v="ORD0886"/>
    <d v="2024-05-01T00:00:00"/>
    <s v="CUST0886"/>
    <s v="Aarav"/>
    <s v="Male"/>
    <n v="51"/>
    <s v="Mumbai"/>
    <x v="1"/>
    <x v="0"/>
    <x v="0"/>
    <x v="4"/>
    <s v="Delivered"/>
    <n v="2"/>
    <n v="38473"/>
    <n v="73098.7"/>
    <n v="14130.77"/>
  </r>
  <r>
    <s v="ORD0887"/>
    <d v="2024-12-11T00:00:00"/>
    <s v="CUST0887"/>
    <s v="Amit"/>
    <s v="Female"/>
    <n v="51"/>
    <s v="Chennai"/>
    <x v="1"/>
    <x v="0"/>
    <x v="0"/>
    <x v="2"/>
    <s v="Returned"/>
    <n v="4"/>
    <n v="4363"/>
    <n v="13961.6"/>
    <n v="2669.58"/>
  </r>
  <r>
    <s v="ORD0888"/>
    <d v="2024-04-06T00:00:00"/>
    <s v="CUST0888"/>
    <s v="Rahul"/>
    <s v="Male"/>
    <n v="59"/>
    <s v="Pune"/>
    <x v="2"/>
    <x v="0"/>
    <x v="2"/>
    <x v="2"/>
    <s v="Pending"/>
    <n v="5"/>
    <n v="31683"/>
    <n v="126732"/>
    <n v="46708.28"/>
  </r>
  <r>
    <s v="ORD0889"/>
    <d v="2024-01-12T00:00:00"/>
    <s v="CUST0889"/>
    <s v="Aarav"/>
    <s v="Female"/>
    <n v="60"/>
    <s v="Pune"/>
    <x v="0"/>
    <x v="2"/>
    <x v="3"/>
    <x v="1"/>
    <s v="Delivered"/>
    <n v="2"/>
    <n v="25304"/>
    <n v="45547.199999999997"/>
    <n v="7165.42"/>
  </r>
  <r>
    <s v="ORD0890"/>
    <d v="2024-04-30T00:00:00"/>
    <s v="CUST0890"/>
    <s v="Aarav"/>
    <s v="Female"/>
    <n v="22"/>
    <s v="Pune"/>
    <x v="0"/>
    <x v="2"/>
    <x v="3"/>
    <x v="0"/>
    <s v="Returned"/>
    <n v="1"/>
    <n v="15412"/>
    <n v="14641.4"/>
    <n v="5415.5"/>
  </r>
  <r>
    <s v="ORD0891"/>
    <d v="2024-01-10T00:00:00"/>
    <s v="CUST0891"/>
    <s v="Rahul"/>
    <s v="Male"/>
    <n v="31"/>
    <s v="Bangalore"/>
    <x v="0"/>
    <x v="0"/>
    <x v="3"/>
    <x v="4"/>
    <s v="Pending"/>
    <n v="2"/>
    <n v="19903"/>
    <n v="35825.4"/>
    <n v="5487.77"/>
  </r>
  <r>
    <s v="ORD0892"/>
    <d v="2024-12-17T00:00:00"/>
    <s v="CUST0892"/>
    <s v="Amit"/>
    <s v="Female"/>
    <n v="19"/>
    <s v="Delhi"/>
    <x v="0"/>
    <x v="2"/>
    <x v="2"/>
    <x v="2"/>
    <s v="Pending"/>
    <n v="5"/>
    <n v="27908"/>
    <n v="132563"/>
    <n v="21272.68"/>
  </r>
  <r>
    <s v="ORD0893"/>
    <d v="2024-12-16T00:00:00"/>
    <s v="CUST0893"/>
    <s v="Sneha"/>
    <s v="Female"/>
    <n v="58"/>
    <s v="Hyderabad"/>
    <x v="0"/>
    <x v="1"/>
    <x v="0"/>
    <x v="3"/>
    <s v="Cancelled"/>
    <n v="5"/>
    <n v="35327"/>
    <n v="167803.25"/>
    <n v="32048.21"/>
  </r>
  <r>
    <s v="ORD0894"/>
    <d v="2024-11-24T00:00:00"/>
    <s v="CUST0894"/>
    <s v="Amit"/>
    <s v="Female"/>
    <n v="45"/>
    <s v="Bangalore"/>
    <x v="1"/>
    <x v="0"/>
    <x v="3"/>
    <x v="3"/>
    <s v="Delivered"/>
    <n v="4"/>
    <n v="26187"/>
    <n v="104748"/>
    <n v="29370.76"/>
  </r>
  <r>
    <s v="ORD0895"/>
    <d v="2024-07-03T00:00:00"/>
    <s v="CUST0895"/>
    <s v="Aarav"/>
    <s v="Male"/>
    <n v="60"/>
    <s v="Hyderabad"/>
    <x v="0"/>
    <x v="0"/>
    <x v="0"/>
    <x v="2"/>
    <s v="Returned"/>
    <n v="1"/>
    <n v="4392"/>
    <n v="3952.8"/>
    <n v="1077.4000000000001"/>
  </r>
  <r>
    <s v="ORD0896"/>
    <d v="2024-09-19T00:00:00"/>
    <s v="CUST0896"/>
    <s v="Rahul"/>
    <s v="Male"/>
    <n v="23"/>
    <s v="Hyderabad"/>
    <x v="0"/>
    <x v="0"/>
    <x v="2"/>
    <x v="0"/>
    <s v="Delivered"/>
    <n v="5"/>
    <n v="44079"/>
    <n v="187335.75"/>
    <n v="30029.57"/>
  </r>
  <r>
    <s v="ORD0897"/>
    <d v="2024-12-09T00:00:00"/>
    <s v="CUST0897"/>
    <s v="Rahul"/>
    <s v="Female"/>
    <n v="31"/>
    <s v="Bangalore"/>
    <x v="0"/>
    <x v="2"/>
    <x v="1"/>
    <x v="1"/>
    <s v="Returned"/>
    <n v="4"/>
    <n v="40630"/>
    <n v="162520"/>
    <n v="25258.75"/>
  </r>
  <r>
    <s v="ORD0898"/>
    <d v="2024-09-11T00:00:00"/>
    <s v="CUST0898"/>
    <s v="Ananya"/>
    <s v="Male"/>
    <n v="26"/>
    <s v="Delhi"/>
    <x v="0"/>
    <x v="2"/>
    <x v="1"/>
    <x v="4"/>
    <s v="Delivered"/>
    <n v="4"/>
    <n v="42932"/>
    <n v="171728"/>
    <n v="26215.89"/>
  </r>
  <r>
    <s v="ORD0899"/>
    <d v="2024-12-15T00:00:00"/>
    <s v="CUST0899"/>
    <s v="Ananya"/>
    <s v="Male"/>
    <n v="47"/>
    <s v="Bangalore"/>
    <x v="0"/>
    <x v="2"/>
    <x v="0"/>
    <x v="0"/>
    <s v="Cancelled"/>
    <n v="4"/>
    <n v="44375"/>
    <n v="150875"/>
    <n v="33166.03"/>
  </r>
  <r>
    <s v="ORD0900"/>
    <d v="2024-07-22T00:00:00"/>
    <s v="CUST0900"/>
    <s v="Neha"/>
    <s v="Male"/>
    <n v="33"/>
    <s v="Chennai"/>
    <x v="0"/>
    <x v="1"/>
    <x v="3"/>
    <x v="0"/>
    <s v="Cancelled"/>
    <n v="3"/>
    <n v="11974"/>
    <n v="35922"/>
    <n v="11849.63"/>
  </r>
  <r>
    <s v="ORD0901"/>
    <d v="2024-02-21T00:00:00"/>
    <s v="CUST0901"/>
    <s v="Rahul"/>
    <s v="Female"/>
    <n v="36"/>
    <s v="Pune"/>
    <x v="0"/>
    <x v="0"/>
    <x v="4"/>
    <x v="0"/>
    <s v="Pending"/>
    <n v="1"/>
    <n v="1110"/>
    <n v="888"/>
    <n v="334.77"/>
  </r>
  <r>
    <s v="ORD0902"/>
    <d v="2024-11-02T00:00:00"/>
    <s v="CUST0902"/>
    <s v="Pooja"/>
    <s v="Male"/>
    <n v="18"/>
    <s v="Mumbai"/>
    <x v="0"/>
    <x v="1"/>
    <x v="2"/>
    <x v="0"/>
    <s v="Delivered"/>
    <n v="3"/>
    <n v="41654"/>
    <n v="106217.7"/>
    <n v="37263.07"/>
  </r>
  <r>
    <s v="ORD0903"/>
    <d v="2024-07-31T00:00:00"/>
    <s v="CUST0903"/>
    <s v="Vikram"/>
    <s v="Female"/>
    <n v="30"/>
    <s v="Mumbai"/>
    <x v="2"/>
    <x v="1"/>
    <x v="2"/>
    <x v="2"/>
    <s v="Cancelled"/>
    <n v="1"/>
    <n v="43440"/>
    <n v="36924"/>
    <n v="12244.01"/>
  </r>
  <r>
    <s v="ORD0904"/>
    <d v="2024-06-03T00:00:00"/>
    <s v="CUST0904"/>
    <s v="Neha"/>
    <s v="Female"/>
    <n v="29"/>
    <s v="Bangalore"/>
    <x v="0"/>
    <x v="2"/>
    <x v="2"/>
    <x v="3"/>
    <s v="Delivered"/>
    <n v="2"/>
    <n v="39720"/>
    <n v="75468"/>
    <n v="25862.959999999999"/>
  </r>
  <r>
    <s v="ORD0905"/>
    <d v="2024-05-16T00:00:00"/>
    <s v="CUST0905"/>
    <s v="Sneha"/>
    <s v="Male"/>
    <n v="33"/>
    <s v="Pune"/>
    <x v="1"/>
    <x v="0"/>
    <x v="1"/>
    <x v="3"/>
    <s v="Delivered"/>
    <n v="3"/>
    <n v="33656"/>
    <n v="80774.399999999994"/>
    <n v="17058.89"/>
  </r>
  <r>
    <s v="ORD0906"/>
    <d v="2024-07-04T00:00:00"/>
    <s v="CUST0906"/>
    <s v="Priya"/>
    <s v="Female"/>
    <n v="58"/>
    <s v="Pune"/>
    <x v="2"/>
    <x v="1"/>
    <x v="4"/>
    <x v="3"/>
    <s v="Returned"/>
    <n v="5"/>
    <n v="36481"/>
    <n v="145924"/>
    <n v="49335.26"/>
  </r>
  <r>
    <s v="ORD0907"/>
    <d v="2024-04-23T00:00:00"/>
    <s v="CUST0907"/>
    <s v="Amit"/>
    <s v="Male"/>
    <n v="31"/>
    <s v="Pune"/>
    <x v="2"/>
    <x v="0"/>
    <x v="2"/>
    <x v="4"/>
    <s v="Cancelled"/>
    <n v="1"/>
    <n v="34486"/>
    <n v="34486"/>
    <n v="9200.35"/>
  </r>
  <r>
    <s v="ORD0908"/>
    <d v="2024-07-05T00:00:00"/>
    <s v="CUST0908"/>
    <s v="Rohan"/>
    <s v="Male"/>
    <n v="51"/>
    <s v="Chennai"/>
    <x v="0"/>
    <x v="2"/>
    <x v="2"/>
    <x v="2"/>
    <s v="Delivered"/>
    <n v="5"/>
    <n v="657"/>
    <n v="2956.5"/>
    <n v="550.26"/>
  </r>
  <r>
    <s v="ORD0909"/>
    <d v="2024-05-09T00:00:00"/>
    <s v="CUST0909"/>
    <s v="Priya"/>
    <s v="Female"/>
    <n v="33"/>
    <s v="Bangalore"/>
    <x v="0"/>
    <x v="1"/>
    <x v="1"/>
    <x v="2"/>
    <s v="Cancelled"/>
    <n v="3"/>
    <n v="35959"/>
    <n v="97089.3"/>
    <n v="37707.040000000001"/>
  </r>
  <r>
    <s v="ORD0910"/>
    <d v="2024-01-27T00:00:00"/>
    <s v="CUST0910"/>
    <s v="Ananya"/>
    <s v="Male"/>
    <n v="58"/>
    <s v="Hyderabad"/>
    <x v="0"/>
    <x v="0"/>
    <x v="2"/>
    <x v="2"/>
    <s v="Cancelled"/>
    <n v="1"/>
    <n v="40598"/>
    <n v="36538.199999999997"/>
    <n v="14023.08"/>
  </r>
  <r>
    <s v="ORD0911"/>
    <d v="2024-03-07T00:00:00"/>
    <s v="CUST0911"/>
    <s v="Pooja"/>
    <s v="Male"/>
    <n v="40"/>
    <s v="Delhi"/>
    <x v="1"/>
    <x v="1"/>
    <x v="4"/>
    <x v="2"/>
    <s v="Pending"/>
    <n v="4"/>
    <n v="26980"/>
    <n v="107920"/>
    <n v="23058.49"/>
  </r>
  <r>
    <s v="ORD0912"/>
    <d v="2024-12-30T00:00:00"/>
    <s v="CUST0912"/>
    <s v="Amit"/>
    <s v="Male"/>
    <n v="18"/>
    <s v="Pune"/>
    <x v="2"/>
    <x v="1"/>
    <x v="2"/>
    <x v="0"/>
    <s v="Cancelled"/>
    <n v="3"/>
    <n v="33052"/>
    <n v="89240.4"/>
    <n v="30708.18"/>
  </r>
  <r>
    <s v="ORD0913"/>
    <d v="2024-11-10T00:00:00"/>
    <s v="CUST0913"/>
    <s v="Sneha"/>
    <s v="Male"/>
    <n v="25"/>
    <s v="Pune"/>
    <x v="2"/>
    <x v="2"/>
    <x v="0"/>
    <x v="1"/>
    <s v="Delivered"/>
    <n v="1"/>
    <n v="20449"/>
    <n v="16359.2"/>
    <n v="3963.89"/>
  </r>
  <r>
    <s v="ORD0914"/>
    <d v="2024-03-08T00:00:00"/>
    <s v="CUST0914"/>
    <s v="Ananya"/>
    <s v="Female"/>
    <n v="58"/>
    <s v="Hyderabad"/>
    <x v="1"/>
    <x v="0"/>
    <x v="1"/>
    <x v="0"/>
    <s v="Delivered"/>
    <n v="2"/>
    <n v="22031"/>
    <n v="37452.699999999997"/>
    <n v="7293.53"/>
  </r>
  <r>
    <s v="ORD0915"/>
    <d v="2024-02-27T00:00:00"/>
    <s v="CUST0915"/>
    <s v="Amit"/>
    <s v="Male"/>
    <n v="38"/>
    <s v="Mumbai"/>
    <x v="1"/>
    <x v="2"/>
    <x v="0"/>
    <x v="1"/>
    <s v="Delivered"/>
    <n v="2"/>
    <n v="17555"/>
    <n v="35110"/>
    <n v="9463.81"/>
  </r>
  <r>
    <s v="ORD0916"/>
    <d v="2024-04-01T00:00:00"/>
    <s v="CUST0916"/>
    <s v="Aarav"/>
    <s v="Male"/>
    <n v="55"/>
    <s v="Hyderabad"/>
    <x v="0"/>
    <x v="2"/>
    <x v="1"/>
    <x v="0"/>
    <s v="Returned"/>
    <n v="2"/>
    <n v="9808"/>
    <n v="18635.2"/>
    <n v="6008.56"/>
  </r>
  <r>
    <s v="ORD0917"/>
    <d v="2024-04-24T00:00:00"/>
    <s v="CUST0917"/>
    <s v="Pooja"/>
    <s v="Female"/>
    <n v="49"/>
    <s v="Delhi"/>
    <x v="0"/>
    <x v="0"/>
    <x v="2"/>
    <x v="0"/>
    <s v="Delivered"/>
    <n v="1"/>
    <n v="22795"/>
    <n v="22795"/>
    <n v="7291.13"/>
  </r>
  <r>
    <s v="ORD0918"/>
    <d v="2024-06-16T00:00:00"/>
    <s v="CUST0918"/>
    <s v="Vikram"/>
    <s v="Male"/>
    <n v="58"/>
    <s v="Chennai"/>
    <x v="2"/>
    <x v="0"/>
    <x v="1"/>
    <x v="0"/>
    <s v="Cancelled"/>
    <n v="4"/>
    <n v="45536"/>
    <n v="145715.20000000001"/>
    <n v="42352.63"/>
  </r>
  <r>
    <s v="ORD0919"/>
    <d v="2024-09-03T00:00:00"/>
    <s v="CUST0919"/>
    <s v="Ananya"/>
    <s v="Female"/>
    <n v="59"/>
    <s v="Bangalore"/>
    <x v="0"/>
    <x v="0"/>
    <x v="2"/>
    <x v="1"/>
    <s v="Returned"/>
    <n v="5"/>
    <n v="45714"/>
    <n v="217141.5"/>
    <n v="58247.13"/>
  </r>
  <r>
    <s v="ORD0920"/>
    <d v="2024-03-23T00:00:00"/>
    <s v="CUST0920"/>
    <s v="Pooja"/>
    <s v="Male"/>
    <n v="34"/>
    <s v="Bangalore"/>
    <x v="1"/>
    <x v="1"/>
    <x v="4"/>
    <x v="2"/>
    <s v="Returned"/>
    <n v="5"/>
    <n v="9417"/>
    <n v="47085"/>
    <n v="8542.19"/>
  </r>
  <r>
    <s v="ORD0921"/>
    <d v="2024-09-28T00:00:00"/>
    <s v="CUST0921"/>
    <s v="Sneha"/>
    <s v="Female"/>
    <n v="44"/>
    <s v="Bangalore"/>
    <x v="1"/>
    <x v="1"/>
    <x v="1"/>
    <x v="0"/>
    <s v="Returned"/>
    <n v="4"/>
    <n v="36947"/>
    <n v="133009.20000000001"/>
    <n v="43680.86"/>
  </r>
  <r>
    <s v="ORD0922"/>
    <d v="2024-05-16T00:00:00"/>
    <s v="CUST0922"/>
    <s v="Sneha"/>
    <s v="Male"/>
    <n v="25"/>
    <s v="Hyderabad"/>
    <x v="0"/>
    <x v="1"/>
    <x v="3"/>
    <x v="1"/>
    <s v="Pending"/>
    <n v="3"/>
    <n v="1077"/>
    <n v="2907.9"/>
    <n v="621.42999999999995"/>
  </r>
  <r>
    <s v="ORD0923"/>
    <d v="2024-06-20T00:00:00"/>
    <s v="CUST0923"/>
    <s v="Ananya"/>
    <s v="Male"/>
    <n v="35"/>
    <s v="Pune"/>
    <x v="0"/>
    <x v="0"/>
    <x v="1"/>
    <x v="4"/>
    <s v="Delivered"/>
    <n v="5"/>
    <n v="34998"/>
    <n v="157491"/>
    <n v="41794.25"/>
  </r>
  <r>
    <s v="ORD0924"/>
    <d v="2024-04-10T00:00:00"/>
    <s v="CUST0924"/>
    <s v="Vikram"/>
    <s v="Male"/>
    <n v="60"/>
    <s v="Pune"/>
    <x v="0"/>
    <x v="0"/>
    <x v="0"/>
    <x v="1"/>
    <s v="Returned"/>
    <n v="3"/>
    <n v="34655"/>
    <n v="83172"/>
    <n v="23795.64"/>
  </r>
  <r>
    <s v="ORD0925"/>
    <d v="2024-03-05T00:00:00"/>
    <s v="CUST0925"/>
    <s v="Sneha"/>
    <s v="Male"/>
    <n v="48"/>
    <s v="Bangalore"/>
    <x v="2"/>
    <x v="2"/>
    <x v="3"/>
    <x v="4"/>
    <s v="Delivered"/>
    <n v="1"/>
    <n v="22943"/>
    <n v="19501.55"/>
    <n v="5823.13"/>
  </r>
  <r>
    <s v="ORD0926"/>
    <d v="2024-09-24T00:00:00"/>
    <s v="CUST0926"/>
    <s v="Vikram"/>
    <s v="Male"/>
    <n v="57"/>
    <s v="Mumbai"/>
    <x v="0"/>
    <x v="2"/>
    <x v="4"/>
    <x v="0"/>
    <s v="Cancelled"/>
    <n v="1"/>
    <n v="46239"/>
    <n v="39303.15"/>
    <n v="11708.25"/>
  </r>
  <r>
    <s v="ORD0927"/>
    <d v="2024-08-31T00:00:00"/>
    <s v="CUST0927"/>
    <s v="Rohan"/>
    <s v="Male"/>
    <n v="51"/>
    <s v="Mumbai"/>
    <x v="0"/>
    <x v="2"/>
    <x v="1"/>
    <x v="1"/>
    <s v="Returned"/>
    <n v="2"/>
    <n v="44488"/>
    <n v="84527.2"/>
    <n v="26150.79"/>
  </r>
  <r>
    <s v="ORD0928"/>
    <d v="2024-04-25T00:00:00"/>
    <s v="CUST0928"/>
    <s v="Aarav"/>
    <s v="Female"/>
    <n v="59"/>
    <s v="Delhi"/>
    <x v="0"/>
    <x v="2"/>
    <x v="2"/>
    <x v="3"/>
    <s v="Pending"/>
    <n v="1"/>
    <n v="20361"/>
    <n v="16288.8"/>
    <n v="3993.15"/>
  </r>
  <r>
    <s v="ORD0929"/>
    <d v="2024-11-27T00:00:00"/>
    <s v="CUST0929"/>
    <s v="Priya"/>
    <s v="Male"/>
    <n v="56"/>
    <s v="Bangalore"/>
    <x v="2"/>
    <x v="2"/>
    <x v="2"/>
    <x v="4"/>
    <s v="Returned"/>
    <n v="4"/>
    <n v="36242"/>
    <n v="130471.2"/>
    <n v="50235.95"/>
  </r>
  <r>
    <s v="ORD0930"/>
    <d v="2024-08-04T00:00:00"/>
    <s v="CUST0930"/>
    <s v="Priya"/>
    <s v="Female"/>
    <n v="43"/>
    <s v="Bangalore"/>
    <x v="0"/>
    <x v="0"/>
    <x v="4"/>
    <x v="0"/>
    <s v="Cancelled"/>
    <n v="4"/>
    <n v="34263"/>
    <n v="116494.2"/>
    <n v="28750.57"/>
  </r>
  <r>
    <s v="ORD0931"/>
    <d v="2024-10-31T00:00:00"/>
    <s v="CUST0931"/>
    <s v="Priya"/>
    <s v="Female"/>
    <n v="59"/>
    <s v="Hyderabad"/>
    <x v="0"/>
    <x v="0"/>
    <x v="1"/>
    <x v="1"/>
    <s v="Pending"/>
    <n v="4"/>
    <n v="40646"/>
    <n v="146325.6"/>
    <n v="42474.080000000002"/>
  </r>
  <r>
    <s v="ORD0932"/>
    <d v="2024-11-01T00:00:00"/>
    <s v="CUST0932"/>
    <s v="Pooja"/>
    <s v="Male"/>
    <n v="47"/>
    <s v="Pune"/>
    <x v="2"/>
    <x v="2"/>
    <x v="2"/>
    <x v="1"/>
    <s v="Pending"/>
    <n v="4"/>
    <n v="32837"/>
    <n v="131348"/>
    <n v="24552.66"/>
  </r>
  <r>
    <s v="ORD0933"/>
    <d v="2024-02-21T00:00:00"/>
    <s v="CUST0933"/>
    <s v="Sneha"/>
    <s v="Male"/>
    <n v="38"/>
    <s v="Pune"/>
    <x v="1"/>
    <x v="2"/>
    <x v="3"/>
    <x v="3"/>
    <s v="Pending"/>
    <n v="5"/>
    <n v="33745"/>
    <n v="160288.75"/>
    <n v="30068.17"/>
  </r>
  <r>
    <s v="ORD0934"/>
    <d v="2024-12-09T00:00:00"/>
    <s v="CUST0934"/>
    <s v="Priya"/>
    <s v="Male"/>
    <n v="49"/>
    <s v="Mumbai"/>
    <x v="2"/>
    <x v="1"/>
    <x v="3"/>
    <x v="3"/>
    <s v="Pending"/>
    <n v="5"/>
    <n v="43602"/>
    <n v="174408"/>
    <n v="47605.86"/>
  </r>
  <r>
    <s v="ORD0935"/>
    <d v="2024-06-13T00:00:00"/>
    <s v="CUST0935"/>
    <s v="Sneha"/>
    <s v="Male"/>
    <n v="22"/>
    <s v="Delhi"/>
    <x v="0"/>
    <x v="1"/>
    <x v="4"/>
    <x v="2"/>
    <s v="Pending"/>
    <n v="3"/>
    <n v="47300"/>
    <n v="120615"/>
    <n v="22062.42"/>
  </r>
  <r>
    <s v="ORD0936"/>
    <d v="2024-09-20T00:00:00"/>
    <s v="CUST0936"/>
    <s v="Pooja"/>
    <s v="Female"/>
    <n v="54"/>
    <s v="Hyderabad"/>
    <x v="1"/>
    <x v="0"/>
    <x v="0"/>
    <x v="2"/>
    <s v="Returned"/>
    <n v="1"/>
    <n v="38491"/>
    <n v="30792.799999999999"/>
    <n v="10275.5"/>
  </r>
  <r>
    <s v="ORD0937"/>
    <d v="2024-08-19T00:00:00"/>
    <s v="CUST0937"/>
    <s v="Sneha"/>
    <s v="Male"/>
    <n v="43"/>
    <s v="Pune"/>
    <x v="0"/>
    <x v="0"/>
    <x v="0"/>
    <x v="0"/>
    <s v="Returned"/>
    <n v="4"/>
    <n v="30647"/>
    <n v="104199.8"/>
    <n v="27200.87"/>
  </r>
  <r>
    <s v="ORD0938"/>
    <d v="2024-08-05T00:00:00"/>
    <s v="CUST0938"/>
    <s v="Neha"/>
    <s v="Male"/>
    <n v="25"/>
    <s v="Chennai"/>
    <x v="0"/>
    <x v="1"/>
    <x v="0"/>
    <x v="3"/>
    <s v="Delivered"/>
    <n v="5"/>
    <n v="27334"/>
    <n v="136670"/>
    <n v="49340.51"/>
  </r>
  <r>
    <s v="ORD0939"/>
    <d v="2024-02-03T00:00:00"/>
    <s v="CUST0939"/>
    <s v="Priya"/>
    <s v="Male"/>
    <n v="24"/>
    <s v="Delhi"/>
    <x v="1"/>
    <x v="1"/>
    <x v="1"/>
    <x v="3"/>
    <s v="Returned"/>
    <n v="2"/>
    <n v="23821"/>
    <n v="38113.599999999999"/>
    <n v="8883.5400000000009"/>
  </r>
  <r>
    <s v="ORD0940"/>
    <d v="2024-03-25T00:00:00"/>
    <s v="CUST0940"/>
    <s v="Aarav"/>
    <s v="Male"/>
    <n v="22"/>
    <s v="Pune"/>
    <x v="1"/>
    <x v="2"/>
    <x v="2"/>
    <x v="0"/>
    <s v="Pending"/>
    <n v="2"/>
    <n v="38447"/>
    <n v="69204.600000000006"/>
    <n v="15806.22"/>
  </r>
  <r>
    <s v="ORD0941"/>
    <d v="2024-01-19T00:00:00"/>
    <s v="CUST0941"/>
    <s v="Vikram"/>
    <s v="Female"/>
    <n v="37"/>
    <s v="Delhi"/>
    <x v="0"/>
    <x v="2"/>
    <x v="3"/>
    <x v="4"/>
    <s v="Delivered"/>
    <n v="5"/>
    <n v="46642"/>
    <n v="233210"/>
    <n v="51936.06"/>
  </r>
  <r>
    <s v="ORD0942"/>
    <d v="2024-10-25T00:00:00"/>
    <s v="CUST0942"/>
    <s v="Pooja"/>
    <s v="Female"/>
    <n v="46"/>
    <s v="Bangalore"/>
    <x v="2"/>
    <x v="2"/>
    <x v="1"/>
    <x v="3"/>
    <s v="Cancelled"/>
    <n v="1"/>
    <n v="14514"/>
    <n v="12336.9"/>
    <n v="4363.47"/>
  </r>
  <r>
    <s v="ORD0943"/>
    <d v="2024-03-08T00:00:00"/>
    <s v="CUST0943"/>
    <s v="Rohan"/>
    <s v="Female"/>
    <n v="56"/>
    <s v="Bangalore"/>
    <x v="0"/>
    <x v="2"/>
    <x v="0"/>
    <x v="1"/>
    <s v="Delivered"/>
    <n v="3"/>
    <n v="17964"/>
    <n v="48502.8"/>
    <n v="17037.98"/>
  </r>
  <r>
    <s v="ORD0944"/>
    <d v="2024-02-01T00:00:00"/>
    <s v="CUST0944"/>
    <s v="Priya"/>
    <s v="Female"/>
    <n v="34"/>
    <s v="Mumbai"/>
    <x v="2"/>
    <x v="0"/>
    <x v="2"/>
    <x v="1"/>
    <s v="Delivered"/>
    <n v="1"/>
    <n v="14266"/>
    <n v="12126.1"/>
    <n v="3747.26"/>
  </r>
  <r>
    <s v="ORD0945"/>
    <d v="2024-02-19T00:00:00"/>
    <s v="CUST0945"/>
    <s v="Aarav"/>
    <s v="Male"/>
    <n v="30"/>
    <s v="Chennai"/>
    <x v="1"/>
    <x v="1"/>
    <x v="3"/>
    <x v="1"/>
    <s v="Returned"/>
    <n v="4"/>
    <n v="33250"/>
    <n v="133000"/>
    <n v="40232.25"/>
  </r>
  <r>
    <s v="ORD0946"/>
    <d v="2024-09-13T00:00:00"/>
    <s v="CUST0946"/>
    <s v="Ananya"/>
    <s v="Male"/>
    <n v="52"/>
    <s v="Chennai"/>
    <x v="0"/>
    <x v="0"/>
    <x v="1"/>
    <x v="4"/>
    <s v="Returned"/>
    <n v="5"/>
    <n v="13784"/>
    <n v="68920"/>
    <n v="15422.81"/>
  </r>
  <r>
    <s v="ORD0947"/>
    <d v="2024-07-30T00:00:00"/>
    <s v="CUST0947"/>
    <s v="Rahul"/>
    <s v="Female"/>
    <n v="52"/>
    <s v="Hyderabad"/>
    <x v="1"/>
    <x v="0"/>
    <x v="4"/>
    <x v="2"/>
    <s v="Returned"/>
    <n v="1"/>
    <n v="29675"/>
    <n v="29675"/>
    <n v="9287.61"/>
  </r>
  <r>
    <s v="ORD0948"/>
    <d v="2024-03-09T00:00:00"/>
    <s v="CUST0948"/>
    <s v="Pooja"/>
    <s v="Male"/>
    <n v="24"/>
    <s v="Chennai"/>
    <x v="0"/>
    <x v="2"/>
    <x v="1"/>
    <x v="0"/>
    <s v="Pending"/>
    <n v="2"/>
    <n v="8064"/>
    <n v="13708.8"/>
    <n v="5132.08"/>
  </r>
  <r>
    <s v="ORD0949"/>
    <d v="2024-11-21T00:00:00"/>
    <s v="CUST0949"/>
    <s v="Sneha"/>
    <s v="Male"/>
    <n v="26"/>
    <s v="Mumbai"/>
    <x v="0"/>
    <x v="1"/>
    <x v="2"/>
    <x v="4"/>
    <s v="Delivered"/>
    <n v="5"/>
    <n v="38008"/>
    <n v="161534"/>
    <n v="47187.47"/>
  </r>
  <r>
    <s v="ORD0950"/>
    <d v="2024-04-01T00:00:00"/>
    <s v="CUST0950"/>
    <s v="Amit"/>
    <s v="Male"/>
    <n v="31"/>
    <s v="Chennai"/>
    <x v="0"/>
    <x v="2"/>
    <x v="1"/>
    <x v="0"/>
    <s v="Cancelled"/>
    <n v="2"/>
    <n v="39279"/>
    <n v="74630.100000000006"/>
    <n v="23150.07"/>
  </r>
  <r>
    <s v="ORD0951"/>
    <d v="2024-12-14T00:00:00"/>
    <s v="CUST0951"/>
    <s v="Rahul"/>
    <s v="Male"/>
    <n v="49"/>
    <s v="Delhi"/>
    <x v="0"/>
    <x v="0"/>
    <x v="4"/>
    <x v="0"/>
    <s v="Pending"/>
    <n v="3"/>
    <n v="32405"/>
    <n v="77772"/>
    <n v="18309.169999999998"/>
  </r>
  <r>
    <s v="ORD0952"/>
    <d v="2024-05-26T00:00:00"/>
    <s v="CUST0952"/>
    <s v="Vikram"/>
    <s v="Male"/>
    <n v="55"/>
    <s v="Pune"/>
    <x v="2"/>
    <x v="0"/>
    <x v="3"/>
    <x v="3"/>
    <s v="Delivered"/>
    <n v="4"/>
    <n v="27256"/>
    <n v="87219.199999999997"/>
    <n v="16800.84"/>
  </r>
  <r>
    <s v="ORD0953"/>
    <d v="2024-01-01T00:00:00"/>
    <s v="CUST0953"/>
    <s v="Neha"/>
    <s v="Female"/>
    <n v="37"/>
    <s v="Delhi"/>
    <x v="0"/>
    <x v="1"/>
    <x v="1"/>
    <x v="2"/>
    <s v="Returned"/>
    <n v="3"/>
    <n v="12474"/>
    <n v="31808.7"/>
    <n v="5055.37"/>
  </r>
  <r>
    <s v="ORD0954"/>
    <d v="2024-11-07T00:00:00"/>
    <s v="CUST0954"/>
    <s v="Priya"/>
    <s v="Male"/>
    <n v="35"/>
    <s v="Pune"/>
    <x v="0"/>
    <x v="1"/>
    <x v="4"/>
    <x v="3"/>
    <s v="Returned"/>
    <n v="1"/>
    <n v="3814"/>
    <n v="3051.2"/>
    <n v="818.88"/>
  </r>
  <r>
    <s v="ORD0955"/>
    <d v="2024-10-02T00:00:00"/>
    <s v="CUST0955"/>
    <s v="Vikram"/>
    <s v="Male"/>
    <n v="39"/>
    <s v="Pune"/>
    <x v="0"/>
    <x v="0"/>
    <x v="0"/>
    <x v="0"/>
    <s v="Delivered"/>
    <n v="3"/>
    <n v="40142"/>
    <n v="96340.800000000003"/>
    <n v="18336.849999999999"/>
  </r>
  <r>
    <s v="ORD0956"/>
    <d v="2024-09-01T00:00:00"/>
    <s v="CUST0956"/>
    <s v="Rahul"/>
    <s v="Female"/>
    <n v="38"/>
    <s v="Bangalore"/>
    <x v="1"/>
    <x v="0"/>
    <x v="1"/>
    <x v="4"/>
    <s v="Cancelled"/>
    <n v="1"/>
    <n v="11795"/>
    <n v="9436"/>
    <n v="2288.7399999999998"/>
  </r>
  <r>
    <s v="ORD0957"/>
    <d v="2024-11-10T00:00:00"/>
    <s v="CUST0957"/>
    <s v="Rahul"/>
    <s v="Male"/>
    <n v="34"/>
    <s v="Bangalore"/>
    <x v="0"/>
    <x v="0"/>
    <x v="2"/>
    <x v="3"/>
    <s v="Returned"/>
    <n v="5"/>
    <n v="15795"/>
    <n v="63180"/>
    <n v="13897.15"/>
  </r>
  <r>
    <s v="ORD0958"/>
    <d v="2024-02-09T00:00:00"/>
    <s v="CUST0958"/>
    <s v="Neha"/>
    <s v="Female"/>
    <n v="39"/>
    <s v="Pune"/>
    <x v="0"/>
    <x v="0"/>
    <x v="1"/>
    <x v="0"/>
    <s v="Pending"/>
    <n v="4"/>
    <n v="13345"/>
    <n v="50711"/>
    <n v="9440.18"/>
  </r>
  <r>
    <s v="ORD0959"/>
    <d v="2024-11-13T00:00:00"/>
    <s v="CUST0959"/>
    <s v="Amit"/>
    <s v="Female"/>
    <n v="37"/>
    <s v="Mumbai"/>
    <x v="1"/>
    <x v="1"/>
    <x v="3"/>
    <x v="0"/>
    <s v="Returned"/>
    <n v="1"/>
    <n v="6968"/>
    <n v="5922.8"/>
    <n v="1761.99"/>
  </r>
  <r>
    <s v="ORD0960"/>
    <d v="2024-07-23T00:00:00"/>
    <s v="CUST0960"/>
    <s v="Vikram"/>
    <s v="Female"/>
    <n v="54"/>
    <s v="Chennai"/>
    <x v="0"/>
    <x v="2"/>
    <x v="3"/>
    <x v="3"/>
    <s v="Cancelled"/>
    <n v="2"/>
    <n v="5242"/>
    <n v="8911.4"/>
    <n v="2182.4699999999998"/>
  </r>
  <r>
    <s v="ORD0961"/>
    <d v="2024-01-04T00:00:00"/>
    <s v="CUST0961"/>
    <s v="Ananya"/>
    <s v="Male"/>
    <n v="55"/>
    <s v="Mumbai"/>
    <x v="1"/>
    <x v="1"/>
    <x v="4"/>
    <x v="3"/>
    <s v="Pending"/>
    <n v="2"/>
    <n v="14173"/>
    <n v="28346"/>
    <n v="11212.15"/>
  </r>
  <r>
    <s v="ORD0962"/>
    <d v="2024-03-28T00:00:00"/>
    <s v="CUST0962"/>
    <s v="Rahul"/>
    <s v="Male"/>
    <n v="43"/>
    <s v="Mumbai"/>
    <x v="0"/>
    <x v="2"/>
    <x v="2"/>
    <x v="2"/>
    <s v="Returned"/>
    <n v="5"/>
    <n v="9069"/>
    <n v="38543.25"/>
    <n v="9902.31"/>
  </r>
  <r>
    <s v="ORD0963"/>
    <d v="2024-02-24T00:00:00"/>
    <s v="CUST0963"/>
    <s v="Rohan"/>
    <s v="Female"/>
    <n v="30"/>
    <s v="Pune"/>
    <x v="0"/>
    <x v="2"/>
    <x v="2"/>
    <x v="3"/>
    <s v="Pending"/>
    <n v="5"/>
    <n v="34661"/>
    <n v="173305"/>
    <n v="60903.59"/>
  </r>
  <r>
    <s v="ORD0964"/>
    <d v="2024-11-23T00:00:00"/>
    <s v="CUST0964"/>
    <s v="Sneha"/>
    <s v="Female"/>
    <n v="52"/>
    <s v="Chennai"/>
    <x v="0"/>
    <x v="0"/>
    <x v="3"/>
    <x v="1"/>
    <s v="Delivered"/>
    <n v="3"/>
    <n v="22149"/>
    <n v="63124.65"/>
    <n v="17574.32"/>
  </r>
  <r>
    <s v="ORD0965"/>
    <d v="2024-11-02T00:00:00"/>
    <s v="CUST0965"/>
    <s v="Rahul"/>
    <s v="Male"/>
    <n v="54"/>
    <s v="Pune"/>
    <x v="0"/>
    <x v="0"/>
    <x v="3"/>
    <x v="4"/>
    <s v="Delivered"/>
    <n v="4"/>
    <n v="47301"/>
    <n v="189204"/>
    <n v="43290.33"/>
  </r>
  <r>
    <s v="ORD0966"/>
    <d v="2024-10-20T00:00:00"/>
    <s v="CUST0966"/>
    <s v="Neha"/>
    <s v="Female"/>
    <n v="53"/>
    <s v="Delhi"/>
    <x v="2"/>
    <x v="2"/>
    <x v="2"/>
    <x v="0"/>
    <s v="Returned"/>
    <n v="1"/>
    <n v="4792"/>
    <n v="4312.8"/>
    <n v="1176.73"/>
  </r>
  <r>
    <s v="ORD0967"/>
    <d v="2024-04-11T00:00:00"/>
    <s v="CUST0967"/>
    <s v="Priya"/>
    <s v="Male"/>
    <n v="52"/>
    <s v="Delhi"/>
    <x v="2"/>
    <x v="1"/>
    <x v="3"/>
    <x v="0"/>
    <s v="Cancelled"/>
    <n v="1"/>
    <n v="41998"/>
    <n v="33598.400000000001"/>
    <n v="9768.7000000000007"/>
  </r>
  <r>
    <s v="ORD0968"/>
    <d v="2024-05-19T00:00:00"/>
    <s v="CUST0968"/>
    <s v="Ananya"/>
    <s v="Male"/>
    <n v="29"/>
    <s v="Pune"/>
    <x v="0"/>
    <x v="1"/>
    <x v="4"/>
    <x v="1"/>
    <s v="Cancelled"/>
    <n v="4"/>
    <n v="15657"/>
    <n v="62628"/>
    <n v="19474.3"/>
  </r>
  <r>
    <s v="ORD0969"/>
    <d v="2024-04-16T00:00:00"/>
    <s v="CUST0969"/>
    <s v="Rohan"/>
    <s v="Female"/>
    <n v="24"/>
    <s v="Bangalore"/>
    <x v="2"/>
    <x v="1"/>
    <x v="2"/>
    <x v="2"/>
    <s v="Pending"/>
    <n v="5"/>
    <n v="41766"/>
    <n v="167064"/>
    <n v="59322.87"/>
  </r>
  <r>
    <s v="ORD0970"/>
    <d v="2024-06-21T00:00:00"/>
    <s v="CUST0970"/>
    <s v="Aarav"/>
    <s v="Female"/>
    <n v="45"/>
    <s v="Mumbai"/>
    <x v="2"/>
    <x v="2"/>
    <x v="0"/>
    <x v="3"/>
    <s v="Pending"/>
    <n v="4"/>
    <n v="24336"/>
    <n v="92476.800000000003"/>
    <n v="33156.17"/>
  </r>
  <r>
    <s v="ORD0971"/>
    <d v="2024-03-24T00:00:00"/>
    <s v="CUST0971"/>
    <s v="Ananya"/>
    <s v="Female"/>
    <n v="19"/>
    <s v="Bangalore"/>
    <x v="1"/>
    <x v="1"/>
    <x v="3"/>
    <x v="4"/>
    <s v="Returned"/>
    <n v="1"/>
    <n v="26556"/>
    <n v="26556"/>
    <n v="5378.23"/>
  </r>
  <r>
    <s v="ORD0972"/>
    <d v="2024-08-18T00:00:00"/>
    <s v="CUST0972"/>
    <s v="Pooja"/>
    <s v="Female"/>
    <n v="41"/>
    <s v="Hyderabad"/>
    <x v="1"/>
    <x v="2"/>
    <x v="2"/>
    <x v="2"/>
    <s v="Cancelled"/>
    <n v="2"/>
    <n v="44311"/>
    <n v="79759.8"/>
    <n v="14116.75"/>
  </r>
  <r>
    <s v="ORD0973"/>
    <d v="2024-10-21T00:00:00"/>
    <s v="CUST0973"/>
    <s v="Neha"/>
    <s v="Female"/>
    <n v="27"/>
    <s v="Bangalore"/>
    <x v="1"/>
    <x v="2"/>
    <x v="4"/>
    <x v="2"/>
    <s v="Delivered"/>
    <n v="3"/>
    <n v="26340"/>
    <n v="71118"/>
    <n v="12258.81"/>
  </r>
  <r>
    <s v="ORD0974"/>
    <d v="2024-03-11T00:00:00"/>
    <s v="CUST0974"/>
    <s v="Pooja"/>
    <s v="Female"/>
    <n v="44"/>
    <s v="Delhi"/>
    <x v="0"/>
    <x v="2"/>
    <x v="2"/>
    <x v="3"/>
    <s v="Pending"/>
    <n v="5"/>
    <n v="12824"/>
    <n v="57708"/>
    <n v="19144.63"/>
  </r>
  <r>
    <s v="ORD0975"/>
    <d v="2024-11-28T00:00:00"/>
    <s v="CUST0975"/>
    <s v="Neha"/>
    <s v="Male"/>
    <n v="53"/>
    <s v="Hyderabad"/>
    <x v="2"/>
    <x v="2"/>
    <x v="2"/>
    <x v="4"/>
    <s v="Delivered"/>
    <n v="1"/>
    <n v="8938"/>
    <n v="7150.4"/>
    <n v="2407.4"/>
  </r>
  <r>
    <s v="ORD0976"/>
    <d v="2024-07-15T00:00:00"/>
    <s v="CUST0976"/>
    <s v="Sneha"/>
    <s v="Male"/>
    <n v="19"/>
    <s v="Pune"/>
    <x v="1"/>
    <x v="0"/>
    <x v="4"/>
    <x v="1"/>
    <s v="Cancelled"/>
    <n v="5"/>
    <n v="15778"/>
    <n v="71001"/>
    <n v="14185.4"/>
  </r>
  <r>
    <s v="ORD0977"/>
    <d v="2024-01-13T00:00:00"/>
    <s v="CUST0977"/>
    <s v="Rahul"/>
    <s v="Female"/>
    <n v="34"/>
    <s v="Bangalore"/>
    <x v="1"/>
    <x v="0"/>
    <x v="0"/>
    <x v="0"/>
    <s v="Returned"/>
    <n v="4"/>
    <n v="8966"/>
    <n v="34070.800000000003"/>
    <n v="6504.26"/>
  </r>
  <r>
    <s v="ORD0978"/>
    <d v="2024-06-25T00:00:00"/>
    <s v="CUST0978"/>
    <s v="Rohan"/>
    <s v="Female"/>
    <n v="44"/>
    <s v="Pune"/>
    <x v="1"/>
    <x v="2"/>
    <x v="2"/>
    <x v="1"/>
    <s v="Delivered"/>
    <n v="2"/>
    <n v="20750"/>
    <n v="35275"/>
    <n v="12619.07"/>
  </r>
  <r>
    <s v="ORD0979"/>
    <d v="2024-12-15T00:00:00"/>
    <s v="CUST0979"/>
    <s v="Ananya"/>
    <s v="Male"/>
    <n v="38"/>
    <s v="Chennai"/>
    <x v="0"/>
    <x v="0"/>
    <x v="3"/>
    <x v="3"/>
    <s v="Pending"/>
    <n v="5"/>
    <n v="46737"/>
    <n v="222000.75"/>
    <n v="62698.15"/>
  </r>
  <r>
    <s v="ORD0980"/>
    <d v="2024-04-06T00:00:00"/>
    <s v="CUST0980"/>
    <s v="Priya"/>
    <s v="Female"/>
    <n v="56"/>
    <s v="Chennai"/>
    <x v="0"/>
    <x v="2"/>
    <x v="4"/>
    <x v="1"/>
    <s v="Delivered"/>
    <n v="3"/>
    <n v="24959"/>
    <n v="74877"/>
    <n v="13848.06"/>
  </r>
  <r>
    <s v="ORD0981"/>
    <d v="2024-04-01T00:00:00"/>
    <s v="CUST0981"/>
    <s v="Priya"/>
    <s v="Female"/>
    <n v="59"/>
    <s v="Mumbai"/>
    <x v="1"/>
    <x v="2"/>
    <x v="0"/>
    <x v="2"/>
    <s v="Pending"/>
    <n v="4"/>
    <n v="21562"/>
    <n v="86248"/>
    <n v="34325.86"/>
  </r>
  <r>
    <s v="ORD0982"/>
    <d v="2024-01-16T00:00:00"/>
    <s v="CUST0982"/>
    <s v="Ananya"/>
    <s v="Female"/>
    <n v="29"/>
    <s v="Bangalore"/>
    <x v="0"/>
    <x v="2"/>
    <x v="2"/>
    <x v="4"/>
    <s v="Delivered"/>
    <n v="4"/>
    <n v="29459"/>
    <n v="94268.800000000003"/>
    <n v="31076.76"/>
  </r>
  <r>
    <s v="ORD0983"/>
    <d v="2024-11-05T00:00:00"/>
    <s v="CUST0983"/>
    <s v="Priya"/>
    <s v="Male"/>
    <n v="40"/>
    <s v="Hyderabad"/>
    <x v="2"/>
    <x v="2"/>
    <x v="0"/>
    <x v="0"/>
    <s v="Returned"/>
    <n v="2"/>
    <n v="44709"/>
    <n v="76005.3"/>
    <n v="28018.53"/>
  </r>
  <r>
    <s v="ORD0984"/>
    <d v="2024-04-11T00:00:00"/>
    <s v="CUST0984"/>
    <s v="Ananya"/>
    <s v="Male"/>
    <n v="40"/>
    <s v="Bangalore"/>
    <x v="0"/>
    <x v="2"/>
    <x v="3"/>
    <x v="1"/>
    <s v="Cancelled"/>
    <n v="4"/>
    <n v="7503"/>
    <n v="25510.2"/>
    <n v="7742.6"/>
  </r>
  <r>
    <s v="ORD0985"/>
    <d v="2024-07-23T00:00:00"/>
    <s v="CUST0985"/>
    <s v="Amit"/>
    <s v="Female"/>
    <n v="51"/>
    <s v="Mumbai"/>
    <x v="2"/>
    <x v="0"/>
    <x v="3"/>
    <x v="2"/>
    <s v="Returned"/>
    <n v="3"/>
    <n v="39356"/>
    <n v="106261.2"/>
    <n v="34089.120000000003"/>
  </r>
  <r>
    <s v="ORD0986"/>
    <d v="2024-01-06T00:00:00"/>
    <s v="CUST0986"/>
    <s v="Pooja"/>
    <s v="Female"/>
    <n v="24"/>
    <s v="Chennai"/>
    <x v="0"/>
    <x v="1"/>
    <x v="3"/>
    <x v="3"/>
    <s v="Cancelled"/>
    <n v="2"/>
    <n v="35658"/>
    <n v="67750.2"/>
    <n v="25367.3"/>
  </r>
  <r>
    <s v="ORD0987"/>
    <d v="2024-07-15T00:00:00"/>
    <s v="CUST0987"/>
    <s v="Pooja"/>
    <s v="Male"/>
    <n v="20"/>
    <s v="Delhi"/>
    <x v="0"/>
    <x v="0"/>
    <x v="1"/>
    <x v="4"/>
    <s v="Delivered"/>
    <n v="2"/>
    <n v="16748"/>
    <n v="26796.799999999999"/>
    <n v="7923.13"/>
  </r>
  <r>
    <s v="ORD0988"/>
    <d v="2024-06-20T00:00:00"/>
    <s v="CUST0988"/>
    <s v="Rohan"/>
    <s v="Female"/>
    <n v="39"/>
    <s v="Delhi"/>
    <x v="0"/>
    <x v="0"/>
    <x v="2"/>
    <x v="4"/>
    <s v="Returned"/>
    <n v="1"/>
    <n v="13756"/>
    <n v="11692.6"/>
    <n v="4103.32"/>
  </r>
  <r>
    <s v="ORD0989"/>
    <d v="2024-01-28T00:00:00"/>
    <s v="CUST0989"/>
    <s v="Pooja"/>
    <s v="Female"/>
    <n v="23"/>
    <s v="Hyderabad"/>
    <x v="0"/>
    <x v="2"/>
    <x v="3"/>
    <x v="3"/>
    <s v="Pending"/>
    <n v="2"/>
    <n v="47233"/>
    <n v="85019.4"/>
    <n v="20185.04"/>
  </r>
  <r>
    <s v="ORD0990"/>
    <d v="2024-01-04T00:00:00"/>
    <s v="CUST0990"/>
    <s v="Sneha"/>
    <s v="Female"/>
    <n v="35"/>
    <s v="Chennai"/>
    <x v="0"/>
    <x v="0"/>
    <x v="1"/>
    <x v="4"/>
    <s v="Returned"/>
    <n v="3"/>
    <n v="9464"/>
    <n v="25552.799999999999"/>
    <n v="8618.2099999999991"/>
  </r>
  <r>
    <s v="ORD0991"/>
    <d v="2024-07-24T00:00:00"/>
    <s v="CUST0991"/>
    <s v="Sneha"/>
    <s v="Female"/>
    <n v="54"/>
    <s v="Delhi"/>
    <x v="0"/>
    <x v="1"/>
    <x v="2"/>
    <x v="1"/>
    <s v="Delivered"/>
    <n v="4"/>
    <n v="30778"/>
    <n v="110800.8"/>
    <n v="22461.75"/>
  </r>
  <r>
    <s v="ORD0992"/>
    <d v="2024-07-01T00:00:00"/>
    <s v="CUST0992"/>
    <s v="Neha"/>
    <s v="Female"/>
    <n v="37"/>
    <s v="Pune"/>
    <x v="0"/>
    <x v="1"/>
    <x v="4"/>
    <x v="1"/>
    <s v="Delivered"/>
    <n v="5"/>
    <n v="40779"/>
    <n v="173310.75"/>
    <n v="46331.28"/>
  </r>
  <r>
    <s v="ORD0993"/>
    <d v="2024-03-09T00:00:00"/>
    <s v="CUST0993"/>
    <s v="Sneha"/>
    <s v="Female"/>
    <n v="51"/>
    <s v="Bangalore"/>
    <x v="0"/>
    <x v="1"/>
    <x v="2"/>
    <x v="2"/>
    <s v="Cancelled"/>
    <n v="4"/>
    <n v="35590"/>
    <n v="135242"/>
    <n v="26769.64"/>
  </r>
  <r>
    <s v="ORD0994"/>
    <d v="2024-07-06T00:00:00"/>
    <s v="CUST0994"/>
    <s v="Neha"/>
    <s v="Male"/>
    <n v="20"/>
    <s v="Hyderabad"/>
    <x v="0"/>
    <x v="2"/>
    <x v="1"/>
    <x v="3"/>
    <s v="Cancelled"/>
    <n v="1"/>
    <n v="29358"/>
    <n v="29358"/>
    <n v="7504.76"/>
  </r>
  <r>
    <s v="ORD0995"/>
    <d v="2024-08-30T00:00:00"/>
    <s v="CUST0995"/>
    <s v="Amit"/>
    <s v="Male"/>
    <n v="56"/>
    <s v="Hyderabad"/>
    <x v="0"/>
    <x v="1"/>
    <x v="2"/>
    <x v="4"/>
    <s v="Returned"/>
    <n v="2"/>
    <n v="22242"/>
    <n v="44484"/>
    <n v="7050.16"/>
  </r>
  <r>
    <s v="ORD0996"/>
    <d v="2024-08-31T00:00:00"/>
    <s v="CUST0996"/>
    <s v="Rohan"/>
    <s v="Male"/>
    <n v="20"/>
    <s v="Bangalore"/>
    <x v="2"/>
    <x v="1"/>
    <x v="0"/>
    <x v="1"/>
    <s v="Delivered"/>
    <n v="3"/>
    <n v="38094"/>
    <n v="91425.600000000006"/>
    <n v="16398.509999999998"/>
  </r>
  <r>
    <s v="ORD0997"/>
    <d v="2024-09-07T00:00:00"/>
    <s v="CUST0997"/>
    <s v="Pooja"/>
    <s v="Female"/>
    <n v="22"/>
    <s v="Delhi"/>
    <x v="1"/>
    <x v="1"/>
    <x v="4"/>
    <x v="0"/>
    <s v="Pending"/>
    <n v="5"/>
    <n v="37707"/>
    <n v="160254.75"/>
    <n v="60664.95"/>
  </r>
  <r>
    <s v="ORD0998"/>
    <d v="2024-11-18T00:00:00"/>
    <s v="CUST0998"/>
    <s v="Rahul"/>
    <s v="Female"/>
    <n v="60"/>
    <s v="Pune"/>
    <x v="0"/>
    <x v="1"/>
    <x v="1"/>
    <x v="3"/>
    <s v="Delivered"/>
    <n v="5"/>
    <n v="24295"/>
    <n v="103253.75"/>
    <n v="21243.59"/>
  </r>
  <r>
    <s v="ORD0999"/>
    <d v="2024-05-06T00:00:00"/>
    <s v="CUST0999"/>
    <s v="Vikram"/>
    <s v="Male"/>
    <n v="47"/>
    <s v="Mumbai"/>
    <x v="2"/>
    <x v="2"/>
    <x v="0"/>
    <x v="4"/>
    <s v="Cancelled"/>
    <n v="1"/>
    <n v="4312"/>
    <n v="3449.6"/>
    <n v="1269.55"/>
  </r>
  <r>
    <s v="ORD1000"/>
    <d v="2024-03-18T00:00:00"/>
    <s v="CUST1000"/>
    <s v="Aarav"/>
    <s v="Female"/>
    <n v="56"/>
    <s v="Hyderabad"/>
    <x v="1"/>
    <x v="2"/>
    <x v="4"/>
    <x v="3"/>
    <s v="Pending"/>
    <n v="1"/>
    <n v="28467"/>
    <n v="24196.95"/>
    <n v="4701.2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001"/>
    <d v="2024-09-06T00:00:00"/>
    <s v="CUST0001"/>
    <s v="Aarav"/>
    <s v="Female"/>
    <n v="25"/>
    <s v="Hyderabad"/>
    <x v="0"/>
    <s v="Corporate"/>
    <x v="0"/>
    <s v="Net Banking"/>
    <s v="Returned"/>
    <n v="4"/>
    <n v="38420"/>
    <n v="122944"/>
    <n v="28962.26"/>
    <n v="0.23557278110359187"/>
  </r>
  <r>
    <s v="ORD0002"/>
    <d v="2024-07-02T00:00:00"/>
    <s v="CUST0002"/>
    <s v="Ananya"/>
    <s v="Female"/>
    <n v="27"/>
    <s v="Delhi"/>
    <x v="0"/>
    <s v="Consumer"/>
    <x v="1"/>
    <s v="Credit Card"/>
    <s v="Cancelled"/>
    <n v="2"/>
    <n v="12452"/>
    <n v="23658.799999999999"/>
    <n v="7436.33"/>
    <n v="0.31431560349637344"/>
  </r>
  <r>
    <s v="ORD0003"/>
    <d v="2024-12-13T00:00:00"/>
    <s v="CUST0003"/>
    <s v="Sneha"/>
    <s v="Male"/>
    <n v="46"/>
    <s v="Mumbai"/>
    <x v="1"/>
    <s v="Consumer"/>
    <x v="2"/>
    <s v="Net Banking"/>
    <s v="Delivered"/>
    <n v="5"/>
    <n v="2296"/>
    <n v="10906"/>
    <n v="3061.99"/>
    <n v="0.28076196589033559"/>
  </r>
  <r>
    <s v="ORD0004"/>
    <d v="2024-10-30T00:00:00"/>
    <s v="CUST0004"/>
    <s v="Pooja"/>
    <s v="Female"/>
    <n v="48"/>
    <s v="Chennai"/>
    <x v="2"/>
    <s v="Corporate"/>
    <x v="0"/>
    <s v="UPI"/>
    <s v="Delivered"/>
    <n v="2"/>
    <n v="24157"/>
    <n v="41066.9"/>
    <n v="9478.23"/>
    <n v="0.2307997438326243"/>
  </r>
  <r>
    <s v="ORD0005"/>
    <d v="2024-10-06T00:00:00"/>
    <s v="CUST0005"/>
    <s v="Aarav"/>
    <s v="Female"/>
    <n v="23"/>
    <s v="Delhi"/>
    <x v="0"/>
    <s v="Home Office"/>
    <x v="3"/>
    <s v="Credit Card"/>
    <s v="Pending"/>
    <n v="4"/>
    <n v="16099"/>
    <n v="61176.2"/>
    <n v="15457.86"/>
    <n v="0.25267767530510232"/>
  </r>
  <r>
    <s v="ORD0006"/>
    <d v="2024-11-28T00:00:00"/>
    <s v="CUST0006"/>
    <s v="Vikram"/>
    <s v="Male"/>
    <n v="33"/>
    <s v="Pune"/>
    <x v="0"/>
    <s v="Corporate"/>
    <x v="2"/>
    <s v="Credit Card"/>
    <s v="Pending"/>
    <n v="5"/>
    <n v="19875"/>
    <n v="79500"/>
    <n v="30192.17"/>
    <n v="0.37977572327044024"/>
  </r>
  <r>
    <s v="ORD0007"/>
    <d v="2024-11-27T00:00:00"/>
    <s v="CUST0007"/>
    <s v="Rohan"/>
    <s v="Male"/>
    <n v="27"/>
    <s v="Hyderabad"/>
    <x v="0"/>
    <s v="Home Office"/>
    <x v="0"/>
    <s v="Cash on Delivery"/>
    <s v="Pending"/>
    <n v="1"/>
    <n v="48768"/>
    <n v="48768"/>
    <n v="16319.33"/>
    <n v="0.33463193077427822"/>
  </r>
  <r>
    <s v="ORD0008"/>
    <d v="2024-01-05T00:00:00"/>
    <s v="CUST0008"/>
    <s v="Ananya"/>
    <s v="Male"/>
    <n v="56"/>
    <s v="Mumbai"/>
    <x v="0"/>
    <s v="Consumer"/>
    <x v="1"/>
    <s v="Credit Card"/>
    <s v="Cancelled"/>
    <n v="2"/>
    <n v="22262"/>
    <n v="37845.4"/>
    <n v="12475.7"/>
    <n v="0.3296490458549784"/>
  </r>
  <r>
    <s v="ORD0009"/>
    <d v="2024-09-15T00:00:00"/>
    <s v="CUST0009"/>
    <s v="Amit"/>
    <s v="Male"/>
    <n v="21"/>
    <s v="Bangalore"/>
    <x v="0"/>
    <s v="Corporate"/>
    <x v="3"/>
    <s v="Net Banking"/>
    <s v="Pending"/>
    <n v="3"/>
    <n v="4064"/>
    <n v="10972.8"/>
    <n v="2448.2800000000002"/>
    <n v="0.2231226305045203"/>
  </r>
  <r>
    <s v="ORD0010"/>
    <d v="2024-11-12T00:00:00"/>
    <s v="CUST0010"/>
    <s v="Ananya"/>
    <s v="Female"/>
    <n v="47"/>
    <s v="Hyderabad"/>
    <x v="1"/>
    <s v="Consumer"/>
    <x v="4"/>
    <s v="Credit Card"/>
    <s v="Returned"/>
    <n v="1"/>
    <n v="1621"/>
    <n v="1296.8"/>
    <n v="475.07"/>
    <n v="0.36634022208513262"/>
  </r>
  <r>
    <s v="ORD0011"/>
    <d v="2024-07-20T00:00:00"/>
    <s v="CUST0011"/>
    <s v="Pooja"/>
    <s v="Female"/>
    <n v="53"/>
    <s v="Chennai"/>
    <x v="1"/>
    <s v="Corporate"/>
    <x v="1"/>
    <s v="Cash on Delivery"/>
    <s v="Pending"/>
    <n v="4"/>
    <n v="34083"/>
    <n v="122698.8"/>
    <n v="37307.06"/>
    <n v="0.30405399237808356"/>
  </r>
  <r>
    <s v="ORD0012"/>
    <d v="2024-08-19T00:00:00"/>
    <s v="CUST0012"/>
    <s v="Vikram"/>
    <s v="Female"/>
    <n v="29"/>
    <s v="Chennai"/>
    <x v="0"/>
    <s v="Consumer"/>
    <x v="2"/>
    <s v="Net Banking"/>
    <s v="Returned"/>
    <n v="5"/>
    <n v="6414"/>
    <n v="25656"/>
    <n v="4873.3500000000004"/>
    <n v="0.18994971936389149"/>
  </r>
  <r>
    <s v="ORD0013"/>
    <d v="2024-04-08T00:00:00"/>
    <s v="CUST0013"/>
    <s v="Neha"/>
    <s v="Male"/>
    <n v="22"/>
    <s v="Pune"/>
    <x v="2"/>
    <s v="Consumer"/>
    <x v="4"/>
    <s v="Net Banking"/>
    <s v="Cancelled"/>
    <n v="5"/>
    <n v="25599"/>
    <n v="115195.5"/>
    <n v="34292.17"/>
    <n v="0.29768671519286777"/>
  </r>
  <r>
    <s v="ORD0014"/>
    <d v="2024-07-12T00:00:00"/>
    <s v="CUST0014"/>
    <s v="Rahul"/>
    <s v="Male"/>
    <n v="47"/>
    <s v="Pune"/>
    <x v="0"/>
    <s v="Consumer"/>
    <x v="2"/>
    <s v="Debit Card"/>
    <s v="Cancelled"/>
    <n v="4"/>
    <n v="20553"/>
    <n v="69880.2"/>
    <n v="15766.99"/>
    <n v="0.22562886196662288"/>
  </r>
  <r>
    <s v="ORD0015"/>
    <d v="2024-08-28T00:00:00"/>
    <s v="CUST0015"/>
    <s v="Pooja"/>
    <s v="Female"/>
    <n v="53"/>
    <s v="Bangalore"/>
    <x v="0"/>
    <s v="Corporate"/>
    <x v="2"/>
    <s v="Credit Card"/>
    <s v="Returned"/>
    <n v="1"/>
    <n v="9133"/>
    <n v="7306.4"/>
    <n v="1882.4"/>
    <n v="0.25763714004160737"/>
  </r>
  <r>
    <s v="ORD0016"/>
    <d v="2024-01-10T00:00:00"/>
    <s v="CUST0016"/>
    <s v="Pooja"/>
    <s v="Male"/>
    <n v="26"/>
    <s v="Chennai"/>
    <x v="0"/>
    <s v="Corporate"/>
    <x v="3"/>
    <s v="UPI"/>
    <s v="Pending"/>
    <n v="1"/>
    <n v="3969"/>
    <n v="3373.65"/>
    <n v="1037.75"/>
    <n v="0.30760452329079779"/>
  </r>
  <r>
    <s v="ORD0017"/>
    <d v="2024-10-20T00:00:00"/>
    <s v="CUST0017"/>
    <s v="Neha"/>
    <s v="Female"/>
    <n v="36"/>
    <s v="Hyderabad"/>
    <x v="0"/>
    <s v="Consumer"/>
    <x v="0"/>
    <s v="Cash on Delivery"/>
    <s v="Cancelled"/>
    <n v="4"/>
    <n v="25369"/>
    <n v="101476"/>
    <n v="26192.67"/>
    <n v="0.25811689463518467"/>
  </r>
  <r>
    <s v="ORD0018"/>
    <d v="2024-09-09T00:00:00"/>
    <s v="CUST0018"/>
    <s v="Rahul"/>
    <s v="Female"/>
    <n v="47"/>
    <s v="Mumbai"/>
    <x v="0"/>
    <s v="Consumer"/>
    <x v="0"/>
    <s v="Net Banking"/>
    <s v="Pending"/>
    <n v="3"/>
    <n v="811"/>
    <n v="2068.0500000000002"/>
    <n v="397.59"/>
    <n v="0.192253572205701"/>
  </r>
  <r>
    <s v="ORD0019"/>
    <d v="2024-03-04T00:00:00"/>
    <s v="CUST0019"/>
    <s v="Amit"/>
    <s v="Male"/>
    <n v="18"/>
    <s v="Chennai"/>
    <x v="0"/>
    <s v="Corporate"/>
    <x v="1"/>
    <s v="UPI"/>
    <s v="Returned"/>
    <n v="1"/>
    <n v="44308"/>
    <n v="42092.6"/>
    <n v="16232.85"/>
    <n v="0.38564617058580369"/>
  </r>
  <r>
    <s v="ORD0020"/>
    <d v="2024-06-28T00:00:00"/>
    <s v="CUST0020"/>
    <s v="Priya"/>
    <s v="Male"/>
    <n v="57"/>
    <s v="Chennai"/>
    <x v="0"/>
    <s v="Home Office"/>
    <x v="4"/>
    <s v="Net Banking"/>
    <s v="Delivered"/>
    <n v="5"/>
    <n v="24644"/>
    <n v="104737"/>
    <n v="21777.47"/>
    <n v="0.20792527950962889"/>
  </r>
  <r>
    <s v="ORD0021"/>
    <d v="2024-04-27T00:00:00"/>
    <s v="CUST0021"/>
    <s v="Pooja"/>
    <s v="Male"/>
    <n v="27"/>
    <s v="Mumbai"/>
    <x v="0"/>
    <s v="Home Office"/>
    <x v="0"/>
    <s v="Cash on Delivery"/>
    <s v="Cancelled"/>
    <n v="1"/>
    <n v="3191"/>
    <n v="2552.8000000000002"/>
    <n v="671.87"/>
    <n v="0.26318943904732056"/>
  </r>
  <r>
    <s v="ORD0022"/>
    <d v="2024-06-02T00:00:00"/>
    <s v="CUST0022"/>
    <s v="Vikram"/>
    <s v="Male"/>
    <n v="55"/>
    <s v="Mumbai"/>
    <x v="0"/>
    <s v="Corporate"/>
    <x v="3"/>
    <s v="Cash on Delivery"/>
    <s v="Pending"/>
    <n v="1"/>
    <n v="4790"/>
    <n v="3832"/>
    <n v="1017.42"/>
    <n v="0.26550626304801667"/>
  </r>
  <r>
    <s v="ORD0023"/>
    <d v="2024-12-26T00:00:00"/>
    <s v="CUST0023"/>
    <s v="Amit"/>
    <s v="Male"/>
    <n v="60"/>
    <s v="Hyderabad"/>
    <x v="0"/>
    <s v="Home Office"/>
    <x v="3"/>
    <s v="Debit Card"/>
    <s v="Delivered"/>
    <n v="3"/>
    <n v="36083"/>
    <n v="108249"/>
    <n v="36371.39"/>
    <n v="0.335997468798788"/>
  </r>
  <r>
    <s v="ORD0024"/>
    <d v="2024-09-29T00:00:00"/>
    <s v="CUST0024"/>
    <s v="Ananya"/>
    <s v="Male"/>
    <n v="54"/>
    <s v="Hyderabad"/>
    <x v="0"/>
    <s v="Home Office"/>
    <x v="2"/>
    <s v="Cash on Delivery"/>
    <s v="Delivered"/>
    <n v="4"/>
    <n v="16789"/>
    <n v="60440.4"/>
    <n v="9225.42"/>
    <n v="0.15263664701093971"/>
  </r>
  <r>
    <s v="ORD0025"/>
    <d v="2024-11-01T00:00:00"/>
    <s v="CUST0025"/>
    <s v="Neha"/>
    <s v="Female"/>
    <n v="58"/>
    <s v="Mumbai"/>
    <x v="0"/>
    <s v="Home Office"/>
    <x v="2"/>
    <s v="Credit Card"/>
    <s v="Cancelled"/>
    <n v="1"/>
    <n v="17566"/>
    <n v="14931.1"/>
    <n v="3289.85"/>
    <n v="0.22033540730421736"/>
  </r>
  <r>
    <s v="ORD0026"/>
    <d v="2024-05-29T00:00:00"/>
    <s v="CUST0026"/>
    <s v="Sneha"/>
    <s v="Female"/>
    <n v="30"/>
    <s v="Chennai"/>
    <x v="1"/>
    <s v="Consumer"/>
    <x v="2"/>
    <s v="Cash on Delivery"/>
    <s v="Returned"/>
    <n v="2"/>
    <n v="44177"/>
    <n v="75100.899999999994"/>
    <n v="25612.75"/>
    <n v="0.34104451477945008"/>
  </r>
  <r>
    <s v="ORD0027"/>
    <d v="2024-04-02T00:00:00"/>
    <s v="CUST0027"/>
    <s v="Amit"/>
    <s v="Female"/>
    <n v="21"/>
    <s v="Pune"/>
    <x v="0"/>
    <s v="Corporate"/>
    <x v="3"/>
    <s v="UPI"/>
    <s v="Delivered"/>
    <n v="4"/>
    <n v="14769"/>
    <n v="47260.800000000003"/>
    <n v="8307.44"/>
    <n v="0.17577865799986458"/>
  </r>
  <r>
    <s v="ORD0028"/>
    <d v="2024-09-04T00:00:00"/>
    <s v="CUST0028"/>
    <s v="Ananya"/>
    <s v="Female"/>
    <n v="32"/>
    <s v="Hyderabad"/>
    <x v="1"/>
    <s v="Home Office"/>
    <x v="4"/>
    <s v="Debit Card"/>
    <s v="Delivered"/>
    <n v="3"/>
    <n v="35284"/>
    <n v="105852"/>
    <n v="35503.58"/>
    <n v="0.33540773910743304"/>
  </r>
  <r>
    <s v="ORD0029"/>
    <d v="2024-04-24T00:00:00"/>
    <s v="CUST0029"/>
    <s v="Vikram"/>
    <s v="Male"/>
    <n v="56"/>
    <s v="Delhi"/>
    <x v="1"/>
    <s v="Consumer"/>
    <x v="0"/>
    <s v="Net Banking"/>
    <s v="Cancelled"/>
    <n v="1"/>
    <n v="41414"/>
    <n v="41414"/>
    <n v="11131.07"/>
    <n v="0.2687755348432897"/>
  </r>
  <r>
    <s v="ORD0030"/>
    <d v="2024-10-28T00:00:00"/>
    <s v="CUST0030"/>
    <s v="Sneha"/>
    <s v="Female"/>
    <n v="26"/>
    <s v="Pune"/>
    <x v="0"/>
    <s v="Home Office"/>
    <x v="0"/>
    <s v="UPI"/>
    <s v="Pending"/>
    <n v="3"/>
    <n v="1903"/>
    <n v="4567.2"/>
    <n v="1752.68"/>
    <n v="0.38375372219302856"/>
  </r>
  <r>
    <s v="ORD0031"/>
    <d v="2024-03-06T00:00:00"/>
    <s v="CUST0031"/>
    <s v="Amit"/>
    <s v="Female"/>
    <n v="59"/>
    <s v="Bangalore"/>
    <x v="0"/>
    <s v="Consumer"/>
    <x v="0"/>
    <s v="Credit Card"/>
    <s v="Cancelled"/>
    <n v="5"/>
    <n v="2384"/>
    <n v="10132"/>
    <n v="3594.65"/>
    <n v="0.35478187919463089"/>
  </r>
  <r>
    <s v="ORD0032"/>
    <d v="2024-06-28T00:00:00"/>
    <s v="CUST0032"/>
    <s v="Amit"/>
    <s v="Male"/>
    <n v="18"/>
    <s v="Delhi"/>
    <x v="0"/>
    <s v="Consumer"/>
    <x v="4"/>
    <s v="Cash on Delivery"/>
    <s v="Returned"/>
    <n v="1"/>
    <n v="37869"/>
    <n v="30295.200000000001"/>
    <n v="8678.44"/>
    <n v="0.28646254192083237"/>
  </r>
  <r>
    <s v="ORD0033"/>
    <d v="2024-09-28T00:00:00"/>
    <s v="CUST0033"/>
    <s v="Ananya"/>
    <s v="Male"/>
    <n v="46"/>
    <s v="Pune"/>
    <x v="0"/>
    <s v="Consumer"/>
    <x v="4"/>
    <s v="Cash on Delivery"/>
    <s v="Delivered"/>
    <n v="3"/>
    <n v="34381"/>
    <n v="97985.85"/>
    <n v="26651.54"/>
    <n v="0.27199376236466793"/>
  </r>
  <r>
    <s v="ORD0034"/>
    <d v="2024-08-25T00:00:00"/>
    <s v="CUST0034"/>
    <s v="Vikram"/>
    <s v="Male"/>
    <n v="35"/>
    <s v="Delhi"/>
    <x v="0"/>
    <s v="Home Office"/>
    <x v="2"/>
    <s v="Net Banking"/>
    <s v="Pending"/>
    <n v="4"/>
    <n v="27404"/>
    <n v="104135.2"/>
    <n v="39984.47"/>
    <n v="0.38396690072136991"/>
  </r>
  <r>
    <s v="ORD0035"/>
    <d v="2024-12-04T00:00:00"/>
    <s v="CUST0035"/>
    <s v="Sneha"/>
    <s v="Female"/>
    <n v="28"/>
    <s v="Delhi"/>
    <x v="0"/>
    <s v="Consumer"/>
    <x v="2"/>
    <s v="Debit Card"/>
    <s v="Cancelled"/>
    <n v="3"/>
    <n v="3184"/>
    <n v="8119.2"/>
    <n v="2269.52"/>
    <n v="0.2795250763622032"/>
  </r>
  <r>
    <s v="ORD0036"/>
    <d v="2024-05-03T00:00:00"/>
    <s v="CUST0036"/>
    <s v="Aarav"/>
    <s v="Female"/>
    <n v="41"/>
    <s v="Mumbai"/>
    <x v="1"/>
    <s v="Consumer"/>
    <x v="3"/>
    <s v="UPI"/>
    <s v="Delivered"/>
    <n v="2"/>
    <n v="31617"/>
    <n v="60072.3"/>
    <n v="16050.29"/>
    <n v="0.26718287796538503"/>
  </r>
  <r>
    <s v="ORD0037"/>
    <d v="2024-09-05T00:00:00"/>
    <s v="CUST0037"/>
    <s v="Rohan"/>
    <s v="Female"/>
    <n v="40"/>
    <s v="Bangalore"/>
    <x v="0"/>
    <s v="Corporate"/>
    <x v="1"/>
    <s v="Credit Card"/>
    <s v="Cancelled"/>
    <n v="4"/>
    <n v="32915"/>
    <n v="125077"/>
    <n v="48673.7"/>
    <n v="0.38914988367165826"/>
  </r>
  <r>
    <s v="ORD0038"/>
    <d v="2024-10-09T00:00:00"/>
    <s v="CUST0038"/>
    <s v="Rohan"/>
    <s v="Female"/>
    <n v="42"/>
    <s v="Chennai"/>
    <x v="2"/>
    <s v="Consumer"/>
    <x v="0"/>
    <s v="Net Banking"/>
    <s v="Pending"/>
    <n v="4"/>
    <n v="14559"/>
    <n v="49500.6"/>
    <n v="10753.5"/>
    <n v="0.21723979103283597"/>
  </r>
  <r>
    <s v="ORD0039"/>
    <d v="2024-10-02T00:00:00"/>
    <s v="CUST0039"/>
    <s v="Rohan"/>
    <s v="Male"/>
    <n v="31"/>
    <s v="Bangalore"/>
    <x v="1"/>
    <s v="Home Office"/>
    <x v="1"/>
    <s v="Credit Card"/>
    <s v="Delivered"/>
    <n v="5"/>
    <n v="25695"/>
    <n v="122051.25"/>
    <n v="22853.7"/>
    <n v="0.18724675085261314"/>
  </r>
  <r>
    <s v="ORD0040"/>
    <d v="2024-10-13T00:00:00"/>
    <s v="CUST0040"/>
    <s v="Sneha"/>
    <s v="Female"/>
    <n v="47"/>
    <s v="Bangalore"/>
    <x v="0"/>
    <s v="Consumer"/>
    <x v="2"/>
    <s v="Cash on Delivery"/>
    <s v="Returned"/>
    <n v="1"/>
    <n v="34443"/>
    <n v="29276.55"/>
    <n v="11616.07"/>
    <n v="0.3967704528026697"/>
  </r>
  <r>
    <s v="ORD0041"/>
    <d v="2024-09-11T00:00:00"/>
    <s v="CUST0041"/>
    <s v="Rohan"/>
    <s v="Female"/>
    <n v="58"/>
    <s v="Delhi"/>
    <x v="0"/>
    <s v="Consumer"/>
    <x v="2"/>
    <s v="UPI"/>
    <s v="Returned"/>
    <n v="2"/>
    <n v="37641"/>
    <n v="71517.899999999994"/>
    <n v="15976.18"/>
    <n v="0.2233871520276742"/>
  </r>
  <r>
    <s v="ORD0042"/>
    <d v="2024-08-07T00:00:00"/>
    <s v="CUST0042"/>
    <s v="Priya"/>
    <s v="Female"/>
    <n v="27"/>
    <s v="Hyderabad"/>
    <x v="2"/>
    <s v="Consumer"/>
    <x v="0"/>
    <s v="Debit Card"/>
    <s v="Cancelled"/>
    <n v="3"/>
    <n v="17564"/>
    <n v="42153.599999999999"/>
    <n v="16046.49"/>
    <n v="0.38066713163288546"/>
  </r>
  <r>
    <s v="ORD0043"/>
    <d v="2024-08-27T00:00:00"/>
    <s v="CUST0043"/>
    <s v="Priya"/>
    <s v="Female"/>
    <n v="56"/>
    <s v="Delhi"/>
    <x v="2"/>
    <s v="Corporate"/>
    <x v="4"/>
    <s v="Debit Card"/>
    <s v="Delivered"/>
    <n v="5"/>
    <n v="41500"/>
    <n v="207500"/>
    <n v="36912.870000000003"/>
    <n v="0.17789334939759038"/>
  </r>
  <r>
    <s v="ORD0044"/>
    <d v="2024-07-27T00:00:00"/>
    <s v="CUST0044"/>
    <s v="Aarav"/>
    <s v="Male"/>
    <n v="40"/>
    <s v="Delhi"/>
    <x v="0"/>
    <s v="Home Office"/>
    <x v="3"/>
    <s v="Net Banking"/>
    <s v="Delivered"/>
    <n v="4"/>
    <n v="3357"/>
    <n v="11413.8"/>
    <n v="3414.04"/>
    <n v="0.29911510627486027"/>
  </r>
  <r>
    <s v="ORD0045"/>
    <d v="2024-09-21T00:00:00"/>
    <s v="CUST0045"/>
    <s v="Amit"/>
    <s v="Male"/>
    <n v="40"/>
    <s v="Delhi"/>
    <x v="1"/>
    <s v="Corporate"/>
    <x v="2"/>
    <s v="Net Banking"/>
    <s v="Delivered"/>
    <n v="1"/>
    <n v="49108"/>
    <n v="49108"/>
    <n v="18713.96"/>
    <n v="0.3810776248269121"/>
  </r>
  <r>
    <s v="ORD0046"/>
    <d v="2024-02-23T00:00:00"/>
    <s v="CUST0046"/>
    <s v="Sneha"/>
    <s v="Male"/>
    <n v="60"/>
    <s v="Mumbai"/>
    <x v="2"/>
    <s v="Corporate"/>
    <x v="4"/>
    <s v="Net Banking"/>
    <s v="Pending"/>
    <n v="1"/>
    <n v="39685"/>
    <n v="35716.5"/>
    <n v="7510.49"/>
    <n v="0.21028068259767893"/>
  </r>
  <r>
    <s v="ORD0047"/>
    <d v="2024-01-23T00:00:00"/>
    <s v="CUST0047"/>
    <s v="Rohan"/>
    <s v="Male"/>
    <n v="53"/>
    <s v="Mumbai"/>
    <x v="0"/>
    <s v="Home Office"/>
    <x v="3"/>
    <s v="UPI"/>
    <s v="Returned"/>
    <n v="3"/>
    <n v="2152"/>
    <n v="6456"/>
    <n v="1902.59"/>
    <n v="0.294701053283767"/>
  </r>
  <r>
    <s v="ORD0048"/>
    <d v="2024-12-06T00:00:00"/>
    <s v="CUST0048"/>
    <s v="Priya"/>
    <s v="Female"/>
    <n v="51"/>
    <s v="Chennai"/>
    <x v="2"/>
    <s v="Home Office"/>
    <x v="0"/>
    <s v="Net Banking"/>
    <s v="Pending"/>
    <n v="3"/>
    <n v="1425"/>
    <n v="3420"/>
    <n v="1115.29"/>
    <n v="0.3261081871345029"/>
  </r>
  <r>
    <s v="ORD0049"/>
    <d v="2024-03-18T00:00:00"/>
    <s v="CUST0049"/>
    <s v="Rahul"/>
    <s v="Female"/>
    <n v="39"/>
    <s v="Chennai"/>
    <x v="0"/>
    <s v="Home Office"/>
    <x v="2"/>
    <s v="Net Banking"/>
    <s v="Returned"/>
    <n v="5"/>
    <n v="34301"/>
    <n v="154354.5"/>
    <n v="55625.25"/>
    <n v="0.36037336132085557"/>
  </r>
  <r>
    <s v="ORD0050"/>
    <d v="2024-12-22T00:00:00"/>
    <s v="CUST0050"/>
    <s v="Vikram"/>
    <s v="Male"/>
    <n v="38"/>
    <s v="Delhi"/>
    <x v="0"/>
    <s v="Consumer"/>
    <x v="2"/>
    <s v="Net Banking"/>
    <s v="Returned"/>
    <n v="5"/>
    <n v="13180"/>
    <n v="65900"/>
    <n v="10801.19"/>
    <n v="0.16390273141122913"/>
  </r>
  <r>
    <s v="ORD0051"/>
    <d v="2024-05-25T00:00:00"/>
    <s v="CUST0051"/>
    <s v="Pooja"/>
    <s v="Female"/>
    <n v="20"/>
    <s v="Hyderabad"/>
    <x v="0"/>
    <s v="Consumer"/>
    <x v="3"/>
    <s v="Debit Card"/>
    <s v="Cancelled"/>
    <n v="5"/>
    <n v="40570"/>
    <n v="172422.5"/>
    <n v="43557.14"/>
    <n v="0.25261865475793471"/>
  </r>
  <r>
    <s v="ORD0052"/>
    <d v="2024-09-19T00:00:00"/>
    <s v="CUST0052"/>
    <s v="Aarav"/>
    <s v="Male"/>
    <n v="32"/>
    <s v="Pune"/>
    <x v="0"/>
    <s v="Consumer"/>
    <x v="4"/>
    <s v="Credit Card"/>
    <s v="Pending"/>
    <n v="1"/>
    <n v="26902"/>
    <n v="21521.599999999999"/>
    <n v="6955.57"/>
    <n v="0.32319019032042229"/>
  </r>
  <r>
    <s v="ORD0053"/>
    <d v="2024-05-18T00:00:00"/>
    <s v="CUST0053"/>
    <s v="Vikram"/>
    <s v="Female"/>
    <n v="25"/>
    <s v="Chennai"/>
    <x v="0"/>
    <s v="Consumer"/>
    <x v="1"/>
    <s v="UPI"/>
    <s v="Pending"/>
    <n v="5"/>
    <n v="22915"/>
    <n v="114575"/>
    <n v="39746.910000000003"/>
    <n v="0.34690735326205546"/>
  </r>
  <r>
    <s v="ORD0054"/>
    <d v="2024-08-24T00:00:00"/>
    <s v="CUST0054"/>
    <s v="Neha"/>
    <s v="Female"/>
    <n v="52"/>
    <s v="Delhi"/>
    <x v="0"/>
    <s v="Consumer"/>
    <x v="0"/>
    <s v="UPI"/>
    <s v="Returned"/>
    <n v="5"/>
    <n v="10061"/>
    <n v="50305"/>
    <n v="9422.7999999999993"/>
    <n v="0.18731338833117978"/>
  </r>
  <r>
    <s v="ORD0055"/>
    <d v="2024-08-08T00:00:00"/>
    <s v="CUST0055"/>
    <s v="Aarav"/>
    <s v="Female"/>
    <n v="21"/>
    <s v="Mumbai"/>
    <x v="1"/>
    <s v="Corporate"/>
    <x v="2"/>
    <s v="Credit Card"/>
    <s v="Delivered"/>
    <n v="4"/>
    <n v="37816"/>
    <n v="136137.60000000001"/>
    <n v="38361.69"/>
    <n v="0.28178614872011848"/>
  </r>
  <r>
    <s v="ORD0056"/>
    <d v="2024-04-18T00:00:00"/>
    <s v="CUST0056"/>
    <s v="Ananya"/>
    <s v="Female"/>
    <n v="55"/>
    <s v="Chennai"/>
    <x v="1"/>
    <s v="Home Office"/>
    <x v="3"/>
    <s v="Credit Card"/>
    <s v="Delivered"/>
    <n v="2"/>
    <n v="17781"/>
    <n v="33783.9"/>
    <n v="5087.43"/>
    <n v="0.15058740997930967"/>
  </r>
  <r>
    <s v="ORD0057"/>
    <d v="2024-02-16T00:00:00"/>
    <s v="CUST0057"/>
    <s v="Aarav"/>
    <s v="Male"/>
    <n v="60"/>
    <s v="Delhi"/>
    <x v="2"/>
    <s v="Corporate"/>
    <x v="4"/>
    <s v="Net Banking"/>
    <s v="Returned"/>
    <n v="2"/>
    <n v="34959"/>
    <n v="62926.2"/>
    <n v="19136.34"/>
    <n v="0.30410766898366659"/>
  </r>
  <r>
    <s v="ORD0058"/>
    <d v="2024-11-10T00:00:00"/>
    <s v="CUST0058"/>
    <s v="Neha"/>
    <s v="Female"/>
    <n v="25"/>
    <s v="Pune"/>
    <x v="0"/>
    <s v="Consumer"/>
    <x v="2"/>
    <s v="Net Banking"/>
    <s v="Returned"/>
    <n v="5"/>
    <n v="44898"/>
    <n v="213265.5"/>
    <n v="55381.94"/>
    <n v="0.2596854155969906"/>
  </r>
  <r>
    <s v="ORD0059"/>
    <d v="2024-12-07T00:00:00"/>
    <s v="CUST0059"/>
    <s v="Ananya"/>
    <s v="Female"/>
    <n v="42"/>
    <s v="Chennai"/>
    <x v="0"/>
    <s v="Consumer"/>
    <x v="3"/>
    <s v="UPI"/>
    <s v="Returned"/>
    <n v="4"/>
    <n v="8562"/>
    <n v="30823.200000000001"/>
    <n v="11058.6"/>
    <n v="0.35877520828466869"/>
  </r>
  <r>
    <s v="ORD0060"/>
    <d v="2024-09-12T00:00:00"/>
    <s v="CUST0060"/>
    <s v="Aarav"/>
    <s v="Male"/>
    <n v="20"/>
    <s v="Mumbai"/>
    <x v="0"/>
    <s v="Consumer"/>
    <x v="2"/>
    <s v="Debit Card"/>
    <s v="Pending"/>
    <n v="1"/>
    <n v="47996"/>
    <n v="40796.6"/>
    <n v="12574.81"/>
    <n v="0.30823181343543332"/>
  </r>
  <r>
    <s v="ORD0061"/>
    <d v="2024-12-22T00:00:00"/>
    <s v="CUST0061"/>
    <s v="Amit"/>
    <s v="Male"/>
    <n v="53"/>
    <s v="Hyderabad"/>
    <x v="2"/>
    <s v="Home Office"/>
    <x v="1"/>
    <s v="Cash on Delivery"/>
    <s v="Returned"/>
    <n v="1"/>
    <n v="37081"/>
    <n v="37081"/>
    <n v="9553.67"/>
    <n v="0.25764326744154686"/>
  </r>
  <r>
    <s v="ORD0062"/>
    <d v="2024-11-08T00:00:00"/>
    <s v="CUST0062"/>
    <s v="Amit"/>
    <s v="Female"/>
    <n v="35"/>
    <s v="Bangalore"/>
    <x v="2"/>
    <s v="Home Office"/>
    <x v="2"/>
    <s v="Debit Card"/>
    <s v="Cancelled"/>
    <n v="3"/>
    <n v="5997"/>
    <n v="16191.9"/>
    <n v="2582.4299999999998"/>
    <n v="0.15948900376113984"/>
  </r>
  <r>
    <s v="ORD0063"/>
    <d v="2024-06-12T00:00:00"/>
    <s v="CUST0063"/>
    <s v="Rahul"/>
    <s v="Female"/>
    <n v="55"/>
    <s v="Bangalore"/>
    <x v="1"/>
    <s v="Home Office"/>
    <x v="0"/>
    <s v="Cash on Delivery"/>
    <s v="Pending"/>
    <n v="2"/>
    <n v="22997"/>
    <n v="43694.3"/>
    <n v="12657.99"/>
    <n v="0.28969430795321127"/>
  </r>
  <r>
    <s v="ORD0064"/>
    <d v="2024-01-08T00:00:00"/>
    <s v="CUST0064"/>
    <s v="Rahul"/>
    <s v="Female"/>
    <n v="31"/>
    <s v="Hyderabad"/>
    <x v="2"/>
    <s v="Corporate"/>
    <x v="3"/>
    <s v="Net Banking"/>
    <s v="Cancelled"/>
    <n v="4"/>
    <n v="44985"/>
    <n v="143952"/>
    <n v="51936.74"/>
    <n v="0.36079206957874843"/>
  </r>
  <r>
    <s v="ORD0065"/>
    <d v="2024-09-06T00:00:00"/>
    <s v="CUST0065"/>
    <s v="Ananya"/>
    <s v="Female"/>
    <n v="36"/>
    <s v="Mumbai"/>
    <x v="0"/>
    <s v="Consumer"/>
    <x v="2"/>
    <s v="Credit Card"/>
    <s v="Pending"/>
    <n v="3"/>
    <n v="11434"/>
    <n v="29156.7"/>
    <n v="6799.41"/>
    <n v="0.23320231713465514"/>
  </r>
  <r>
    <s v="ORD0066"/>
    <d v="2024-02-04T00:00:00"/>
    <s v="CUST0066"/>
    <s v="Neha"/>
    <s v="Male"/>
    <n v="18"/>
    <s v="Delhi"/>
    <x v="1"/>
    <s v="Corporate"/>
    <x v="2"/>
    <s v="Credit Card"/>
    <s v="Cancelled"/>
    <n v="5"/>
    <n v="2499"/>
    <n v="11870.25"/>
    <n v="2102.87"/>
    <n v="0.1771546513342179"/>
  </r>
  <r>
    <s v="ORD0067"/>
    <d v="2024-07-18T00:00:00"/>
    <s v="CUST0067"/>
    <s v="Pooja"/>
    <s v="Male"/>
    <n v="18"/>
    <s v="Pune"/>
    <x v="0"/>
    <s v="Home Office"/>
    <x v="1"/>
    <s v="Net Banking"/>
    <s v="Returned"/>
    <n v="1"/>
    <n v="49692"/>
    <n v="44722.8"/>
    <n v="11782.53"/>
    <n v="0.26345689446993481"/>
  </r>
  <r>
    <s v="ORD0068"/>
    <d v="2024-10-02T00:00:00"/>
    <s v="CUST0068"/>
    <s v="Neha"/>
    <s v="Male"/>
    <n v="40"/>
    <s v="Pune"/>
    <x v="0"/>
    <s v="Consumer"/>
    <x v="2"/>
    <s v="Debit Card"/>
    <s v="Returned"/>
    <n v="4"/>
    <n v="26736"/>
    <n v="85555.199999999997"/>
    <n v="13596.44"/>
    <n v="0.15892008901855179"/>
  </r>
  <r>
    <s v="ORD0069"/>
    <d v="2024-08-18T00:00:00"/>
    <s v="CUST0069"/>
    <s v="Priya"/>
    <s v="Male"/>
    <n v="20"/>
    <s v="Hyderabad"/>
    <x v="1"/>
    <s v="Consumer"/>
    <x v="4"/>
    <s v="Cash on Delivery"/>
    <s v="Cancelled"/>
    <n v="3"/>
    <n v="37422"/>
    <n v="106652.7"/>
    <n v="21057.13"/>
    <n v="0.19743644558459375"/>
  </r>
  <r>
    <s v="ORD0070"/>
    <d v="2024-05-09T00:00:00"/>
    <s v="CUST0070"/>
    <s v="Neha"/>
    <s v="Female"/>
    <n v="43"/>
    <s v="Hyderabad"/>
    <x v="0"/>
    <s v="Corporate"/>
    <x v="0"/>
    <s v="Net Banking"/>
    <s v="Pending"/>
    <n v="2"/>
    <n v="15619"/>
    <n v="28114.2"/>
    <n v="7615.98"/>
    <n v="0.27089442345860809"/>
  </r>
  <r>
    <s v="ORD0071"/>
    <d v="2024-06-23T00:00:00"/>
    <s v="CUST0071"/>
    <s v="Pooja"/>
    <s v="Male"/>
    <n v="42"/>
    <s v="Bangalore"/>
    <x v="0"/>
    <s v="Home Office"/>
    <x v="1"/>
    <s v="Credit Card"/>
    <s v="Returned"/>
    <n v="2"/>
    <n v="28059"/>
    <n v="56118"/>
    <n v="11407.05"/>
    <n v="0.20326900459745534"/>
  </r>
  <r>
    <s v="ORD0072"/>
    <d v="2024-08-02T00:00:00"/>
    <s v="CUST0072"/>
    <s v="Neha"/>
    <s v="Male"/>
    <n v="53"/>
    <s v="Hyderabad"/>
    <x v="2"/>
    <s v="Home Office"/>
    <x v="0"/>
    <s v="Debit Card"/>
    <s v="Delivered"/>
    <n v="1"/>
    <n v="20497"/>
    <n v="20497"/>
    <n v="4978.24"/>
    <n v="0.2428765185149046"/>
  </r>
  <r>
    <s v="ORD0073"/>
    <d v="2024-05-27T00:00:00"/>
    <s v="CUST0073"/>
    <s v="Amit"/>
    <s v="Male"/>
    <n v="35"/>
    <s v="Pune"/>
    <x v="0"/>
    <s v="Corporate"/>
    <x v="0"/>
    <s v="Debit Card"/>
    <s v="Delivered"/>
    <n v="2"/>
    <n v="17693"/>
    <n v="28308.799999999999"/>
    <n v="10690.86"/>
    <n v="0.37765147233369134"/>
  </r>
  <r>
    <s v="ORD0074"/>
    <d v="2024-11-14T00:00:00"/>
    <s v="CUST0074"/>
    <s v="Aarav"/>
    <s v="Male"/>
    <n v="59"/>
    <s v="Mumbai"/>
    <x v="0"/>
    <s v="Corporate"/>
    <x v="2"/>
    <s v="UPI"/>
    <s v="Delivered"/>
    <n v="3"/>
    <n v="8783"/>
    <n v="23714.1"/>
    <n v="7779.65"/>
    <n v="0.32806009926583762"/>
  </r>
  <r>
    <s v="ORD0075"/>
    <d v="2024-09-10T00:00:00"/>
    <s v="CUST0075"/>
    <s v="Rohan"/>
    <s v="Female"/>
    <n v="37"/>
    <s v="Hyderabad"/>
    <x v="0"/>
    <s v="Corporate"/>
    <x v="1"/>
    <s v="Debit Card"/>
    <s v="Pending"/>
    <n v="4"/>
    <n v="38829"/>
    <n v="139784.4"/>
    <n v="22706.67"/>
    <n v="0.16244065861426596"/>
  </r>
  <r>
    <s v="ORD0076"/>
    <d v="2024-08-09T00:00:00"/>
    <s v="CUST0076"/>
    <s v="Rohan"/>
    <s v="Male"/>
    <n v="27"/>
    <s v="Delhi"/>
    <x v="0"/>
    <s v="Corporate"/>
    <x v="0"/>
    <s v="UPI"/>
    <s v="Cancelled"/>
    <n v="5"/>
    <n v="32053"/>
    <n v="160265"/>
    <n v="61934.7"/>
    <n v="0.38645181418275981"/>
  </r>
  <r>
    <s v="ORD0077"/>
    <d v="2024-05-20T00:00:00"/>
    <s v="CUST0077"/>
    <s v="Vikram"/>
    <s v="Female"/>
    <n v="42"/>
    <s v="Hyderabad"/>
    <x v="0"/>
    <s v="Corporate"/>
    <x v="3"/>
    <s v="Debit Card"/>
    <s v="Pending"/>
    <n v="2"/>
    <n v="37968"/>
    <n v="68342.399999999994"/>
    <n v="17847.93"/>
    <n v="0.26115456875965726"/>
  </r>
  <r>
    <s v="ORD0078"/>
    <d v="2024-04-24T00:00:00"/>
    <s v="CUST0078"/>
    <s v="Sneha"/>
    <s v="Female"/>
    <n v="24"/>
    <s v="Mumbai"/>
    <x v="2"/>
    <s v="Home Office"/>
    <x v="1"/>
    <s v="Cash on Delivery"/>
    <s v="Delivered"/>
    <n v="2"/>
    <n v="8455"/>
    <n v="13528"/>
    <n v="3113.91"/>
    <n v="0.2301825842696629"/>
  </r>
  <r>
    <s v="ORD0079"/>
    <d v="2024-07-29T00:00:00"/>
    <s v="CUST0079"/>
    <s v="Rohan"/>
    <s v="Male"/>
    <n v="36"/>
    <s v="Chennai"/>
    <x v="2"/>
    <s v="Corporate"/>
    <x v="1"/>
    <s v="Net Banking"/>
    <s v="Delivered"/>
    <n v="1"/>
    <n v="44054"/>
    <n v="37445.9"/>
    <n v="12098.3"/>
    <n v="0.32308744081461521"/>
  </r>
  <r>
    <s v="ORD0080"/>
    <d v="2024-07-18T00:00:00"/>
    <s v="CUST0080"/>
    <s v="Sneha"/>
    <s v="Female"/>
    <n v="43"/>
    <s v="Chennai"/>
    <x v="1"/>
    <s v="Corporate"/>
    <x v="3"/>
    <s v="Cash on Delivery"/>
    <s v="Delivered"/>
    <n v="4"/>
    <n v="36271"/>
    <n v="116067.2"/>
    <n v="25549.29"/>
    <n v="0.22012497932232364"/>
  </r>
  <r>
    <s v="ORD0081"/>
    <d v="2024-10-28T00:00:00"/>
    <s v="CUST0081"/>
    <s v="Amit"/>
    <s v="Male"/>
    <n v="39"/>
    <s v="Bangalore"/>
    <x v="0"/>
    <s v="Consumer"/>
    <x v="0"/>
    <s v="Debit Card"/>
    <s v="Returned"/>
    <n v="5"/>
    <n v="24251"/>
    <n v="103066.75"/>
    <n v="37835.5"/>
    <n v="0.36709705118284996"/>
  </r>
  <r>
    <s v="ORD0082"/>
    <d v="2024-05-20T00:00:00"/>
    <s v="CUST0082"/>
    <s v="Amit"/>
    <s v="Female"/>
    <n v="60"/>
    <s v="Chennai"/>
    <x v="0"/>
    <s v="Corporate"/>
    <x v="2"/>
    <s v="UPI"/>
    <s v="Pending"/>
    <n v="1"/>
    <n v="14176"/>
    <n v="14176"/>
    <n v="5087.21"/>
    <n v="0.35886075056433409"/>
  </r>
  <r>
    <s v="ORD0083"/>
    <d v="2024-01-16T00:00:00"/>
    <s v="CUST0083"/>
    <s v="Aarav"/>
    <s v="Female"/>
    <n v="36"/>
    <s v="Hyderabad"/>
    <x v="0"/>
    <s v="Home Office"/>
    <x v="4"/>
    <s v="UPI"/>
    <s v="Delivered"/>
    <n v="5"/>
    <n v="38946"/>
    <n v="175257"/>
    <n v="66241.440000000002"/>
    <n v="0.37796744209931704"/>
  </r>
  <r>
    <s v="ORD0084"/>
    <d v="2024-06-13T00:00:00"/>
    <s v="CUST0084"/>
    <s v="Neha"/>
    <s v="Female"/>
    <n v="60"/>
    <s v="Hyderabad"/>
    <x v="0"/>
    <s v="Corporate"/>
    <x v="4"/>
    <s v="Credit Card"/>
    <s v="Cancelled"/>
    <n v="1"/>
    <n v="43528"/>
    <n v="43528"/>
    <n v="12033.15"/>
    <n v="0.27644619555228817"/>
  </r>
  <r>
    <s v="ORD0085"/>
    <d v="2024-12-17T00:00:00"/>
    <s v="CUST0085"/>
    <s v="Rahul"/>
    <s v="Female"/>
    <n v="31"/>
    <s v="Hyderabad"/>
    <x v="2"/>
    <s v="Consumer"/>
    <x v="2"/>
    <s v="Credit Card"/>
    <s v="Pending"/>
    <n v="5"/>
    <n v="13432"/>
    <n v="57086"/>
    <n v="10482.790000000001"/>
    <n v="0.1836315383806888"/>
  </r>
  <r>
    <s v="ORD0086"/>
    <d v="2024-11-30T00:00:00"/>
    <s v="CUST0086"/>
    <s v="Aarav"/>
    <s v="Male"/>
    <n v="27"/>
    <s v="Mumbai"/>
    <x v="1"/>
    <s v="Home Office"/>
    <x v="1"/>
    <s v="Debit Card"/>
    <s v="Pending"/>
    <n v="1"/>
    <n v="39310"/>
    <n v="37344.5"/>
    <n v="14832.59"/>
    <n v="0.39718271766926855"/>
  </r>
  <r>
    <s v="ORD0087"/>
    <d v="2024-08-04T00:00:00"/>
    <s v="CUST0087"/>
    <s v="Priya"/>
    <s v="Female"/>
    <n v="27"/>
    <s v="Pune"/>
    <x v="1"/>
    <s v="Home Office"/>
    <x v="1"/>
    <s v="Cash on Delivery"/>
    <s v="Cancelled"/>
    <n v="3"/>
    <n v="34190"/>
    <n v="82056"/>
    <n v="20046.060000000001"/>
    <n v="0.24429730915472361"/>
  </r>
  <r>
    <s v="ORD0088"/>
    <d v="2024-07-02T00:00:00"/>
    <s v="CUST0088"/>
    <s v="Vikram"/>
    <s v="Male"/>
    <n v="21"/>
    <s v="Bangalore"/>
    <x v="0"/>
    <s v="Home Office"/>
    <x v="1"/>
    <s v="Cash on Delivery"/>
    <s v="Cancelled"/>
    <n v="3"/>
    <n v="8105"/>
    <n v="24315"/>
    <n v="9377.0499999999993"/>
    <n v="0.38564877647542667"/>
  </r>
  <r>
    <s v="ORD0089"/>
    <d v="2024-04-08T00:00:00"/>
    <s v="CUST0089"/>
    <s v="Vikram"/>
    <s v="Male"/>
    <n v="23"/>
    <s v="Pune"/>
    <x v="2"/>
    <s v="Consumer"/>
    <x v="0"/>
    <s v="Credit Card"/>
    <s v="Delivered"/>
    <n v="3"/>
    <n v="22480"/>
    <n v="64068"/>
    <n v="14076.47"/>
    <n v="0.2197114003870887"/>
  </r>
  <r>
    <s v="ORD0090"/>
    <d v="2024-02-23T00:00:00"/>
    <s v="CUST0090"/>
    <s v="Vikram"/>
    <s v="Female"/>
    <n v="53"/>
    <s v="Mumbai"/>
    <x v="1"/>
    <s v="Corporate"/>
    <x v="4"/>
    <s v="Debit Card"/>
    <s v="Pending"/>
    <n v="2"/>
    <n v="36928"/>
    <n v="59084.800000000003"/>
    <n v="14346.14"/>
    <n v="0.24280593316724436"/>
  </r>
  <r>
    <s v="ORD0091"/>
    <d v="2024-06-11T00:00:00"/>
    <s v="CUST0091"/>
    <s v="Amit"/>
    <s v="Male"/>
    <n v="25"/>
    <s v="Pune"/>
    <x v="0"/>
    <s v="Consumer"/>
    <x v="1"/>
    <s v="Credit Card"/>
    <s v="Delivered"/>
    <n v="4"/>
    <n v="49169"/>
    <n v="186842.2"/>
    <n v="38308.79"/>
    <n v="0.20503285660305862"/>
  </r>
  <r>
    <s v="ORD0092"/>
    <d v="2024-10-08T00:00:00"/>
    <s v="CUST0092"/>
    <s v="Vikram"/>
    <s v="Female"/>
    <n v="41"/>
    <s v="Mumbai"/>
    <x v="1"/>
    <s v="Consumer"/>
    <x v="4"/>
    <s v="Credit Card"/>
    <s v="Pending"/>
    <n v="4"/>
    <n v="22015"/>
    <n v="74851"/>
    <n v="18114.43"/>
    <n v="0.24200651961897637"/>
  </r>
  <r>
    <s v="ORD0093"/>
    <d v="2024-12-23T00:00:00"/>
    <s v="CUST0093"/>
    <s v="Aarav"/>
    <s v="Male"/>
    <n v="20"/>
    <s v="Hyderabad"/>
    <x v="0"/>
    <s v="Home Office"/>
    <x v="0"/>
    <s v="Debit Card"/>
    <s v="Delivered"/>
    <n v="2"/>
    <n v="8133"/>
    <n v="14639.4"/>
    <n v="3741.16"/>
    <n v="0.25555418937934615"/>
  </r>
  <r>
    <s v="ORD0094"/>
    <d v="2024-05-21T00:00:00"/>
    <s v="CUST0094"/>
    <s v="Amit"/>
    <s v="Female"/>
    <n v="39"/>
    <s v="Mumbai"/>
    <x v="0"/>
    <s v="Consumer"/>
    <x v="4"/>
    <s v="Net Banking"/>
    <s v="Returned"/>
    <n v="1"/>
    <n v="9633"/>
    <n v="7706.4"/>
    <n v="2563.7600000000002"/>
    <n v="0.33267933146475659"/>
  </r>
  <r>
    <s v="ORD0095"/>
    <d v="2024-09-29T00:00:00"/>
    <s v="CUST0095"/>
    <s v="Sneha"/>
    <s v="Male"/>
    <n v="47"/>
    <s v="Pune"/>
    <x v="2"/>
    <s v="Home Office"/>
    <x v="0"/>
    <s v="Credit Card"/>
    <s v="Cancelled"/>
    <n v="3"/>
    <n v="3708"/>
    <n v="10567.8"/>
    <n v="2317.58"/>
    <n v="0.21930581578001099"/>
  </r>
  <r>
    <s v="ORD0096"/>
    <d v="2024-06-16T00:00:00"/>
    <s v="CUST0096"/>
    <s v="Ananya"/>
    <s v="Male"/>
    <n v="56"/>
    <s v="Chennai"/>
    <x v="1"/>
    <s v="Consumer"/>
    <x v="3"/>
    <s v="Credit Card"/>
    <s v="Pending"/>
    <n v="5"/>
    <n v="29654"/>
    <n v="126029.5"/>
    <n v="50398.53"/>
    <n v="0.39989470719157022"/>
  </r>
  <r>
    <s v="ORD0097"/>
    <d v="2024-01-13T00:00:00"/>
    <s v="CUST0097"/>
    <s v="Priya"/>
    <s v="Male"/>
    <n v="20"/>
    <s v="Hyderabad"/>
    <x v="0"/>
    <s v="Consumer"/>
    <x v="4"/>
    <s v="Credit Card"/>
    <s v="Returned"/>
    <n v="1"/>
    <n v="11542"/>
    <n v="9810.7000000000007"/>
    <n v="3647.77"/>
    <n v="0.37181546678626393"/>
  </r>
  <r>
    <s v="ORD0098"/>
    <d v="2024-02-14T00:00:00"/>
    <s v="CUST0098"/>
    <s v="Amit"/>
    <s v="Male"/>
    <n v="26"/>
    <s v="Pune"/>
    <x v="0"/>
    <s v="Corporate"/>
    <x v="2"/>
    <s v="Net Banking"/>
    <s v="Cancelled"/>
    <n v="3"/>
    <n v="39499"/>
    <n v="106647.3"/>
    <n v="29891.91"/>
    <n v="0.28028754595756289"/>
  </r>
  <r>
    <s v="ORD0099"/>
    <d v="2024-06-02T00:00:00"/>
    <s v="CUST0099"/>
    <s v="Amit"/>
    <s v="Male"/>
    <n v="35"/>
    <s v="Chennai"/>
    <x v="0"/>
    <s v="Corporate"/>
    <x v="3"/>
    <s v="UPI"/>
    <s v="Returned"/>
    <n v="1"/>
    <n v="16617"/>
    <n v="15786.15"/>
    <n v="3241.87"/>
    <n v="0.20536166196317657"/>
  </r>
  <r>
    <s v="ORD0100"/>
    <d v="2024-02-13T00:00:00"/>
    <s v="CUST0100"/>
    <s v="Aarav"/>
    <s v="Male"/>
    <n v="52"/>
    <s v="Delhi"/>
    <x v="0"/>
    <s v="Corporate"/>
    <x v="3"/>
    <s v="UPI"/>
    <s v="Returned"/>
    <n v="4"/>
    <n v="48508"/>
    <n v="174628.8"/>
    <n v="56540.53"/>
    <n v="0.32377551698230761"/>
  </r>
  <r>
    <s v="ORD0101"/>
    <d v="2024-11-05T00:00:00"/>
    <s v="CUST0101"/>
    <s v="Neha"/>
    <s v="Female"/>
    <n v="41"/>
    <s v="Hyderabad"/>
    <x v="1"/>
    <s v="Corporate"/>
    <x v="0"/>
    <s v="Cash on Delivery"/>
    <s v="Delivered"/>
    <n v="4"/>
    <n v="44149"/>
    <n v="158936.4"/>
    <n v="52214.89"/>
    <n v="0.32852694536934274"/>
  </r>
  <r>
    <s v="ORD0102"/>
    <d v="2024-07-06T00:00:00"/>
    <s v="CUST0102"/>
    <s v="Aarav"/>
    <s v="Female"/>
    <n v="46"/>
    <s v="Hyderabad"/>
    <x v="2"/>
    <s v="Home Office"/>
    <x v="2"/>
    <s v="Cash on Delivery"/>
    <s v="Pending"/>
    <n v="4"/>
    <n v="6679"/>
    <n v="22708.6"/>
    <n v="5224.13"/>
    <n v="0.23005072967950471"/>
  </r>
  <r>
    <s v="ORD0103"/>
    <d v="2024-02-26T00:00:00"/>
    <s v="CUST0103"/>
    <s v="Pooja"/>
    <s v="Male"/>
    <n v="60"/>
    <s v="Delhi"/>
    <x v="2"/>
    <s v="Consumer"/>
    <x v="3"/>
    <s v="Debit Card"/>
    <s v="Returned"/>
    <n v="1"/>
    <n v="42360"/>
    <n v="38124"/>
    <n v="6995.67"/>
    <n v="0.18349779666351904"/>
  </r>
  <r>
    <s v="ORD0104"/>
    <d v="2024-10-18T00:00:00"/>
    <s v="CUST0104"/>
    <s v="Priya"/>
    <s v="Male"/>
    <n v="28"/>
    <s v="Mumbai"/>
    <x v="0"/>
    <s v="Home Office"/>
    <x v="0"/>
    <s v="Credit Card"/>
    <s v="Returned"/>
    <n v="4"/>
    <n v="4948"/>
    <n v="15833.6"/>
    <n v="3492.5"/>
    <n v="0.22057523241713822"/>
  </r>
  <r>
    <s v="ORD0105"/>
    <d v="2024-08-10T00:00:00"/>
    <s v="CUST0105"/>
    <s v="Amit"/>
    <s v="Female"/>
    <n v="31"/>
    <s v="Hyderabad"/>
    <x v="2"/>
    <s v="Consumer"/>
    <x v="4"/>
    <s v="Cash on Delivery"/>
    <s v="Pending"/>
    <n v="5"/>
    <n v="21592"/>
    <n v="102562"/>
    <n v="35432.03"/>
    <n v="0.34546937462217975"/>
  </r>
  <r>
    <s v="ORD0106"/>
    <d v="2024-07-15T00:00:00"/>
    <s v="CUST0106"/>
    <s v="Neha"/>
    <s v="Female"/>
    <n v="48"/>
    <s v="Mumbai"/>
    <x v="0"/>
    <s v="Consumer"/>
    <x v="1"/>
    <s v="Credit Card"/>
    <s v="Pending"/>
    <n v="5"/>
    <n v="20186"/>
    <n v="90837"/>
    <n v="17703.27"/>
    <n v="0.19489051818091746"/>
  </r>
  <r>
    <s v="ORD0107"/>
    <d v="2024-08-24T00:00:00"/>
    <s v="CUST0107"/>
    <s v="Amit"/>
    <s v="Male"/>
    <n v="52"/>
    <s v="Mumbai"/>
    <x v="0"/>
    <s v="Home Office"/>
    <x v="2"/>
    <s v="Net Banking"/>
    <s v="Pending"/>
    <n v="2"/>
    <n v="24592"/>
    <n v="39347.199999999997"/>
    <n v="9310.25"/>
    <n v="0.23661785336694863"/>
  </r>
  <r>
    <s v="ORD0108"/>
    <d v="2024-10-07T00:00:00"/>
    <s v="CUST0108"/>
    <s v="Rahul"/>
    <s v="Female"/>
    <n v="27"/>
    <s v="Bangalore"/>
    <x v="0"/>
    <s v="Consumer"/>
    <x v="2"/>
    <s v="Credit Card"/>
    <s v="Cancelled"/>
    <n v="4"/>
    <n v="46157"/>
    <n v="166165.20000000001"/>
    <n v="38543.99"/>
    <n v="0.23196186686502346"/>
  </r>
  <r>
    <s v="ORD0109"/>
    <d v="2024-01-22T00:00:00"/>
    <s v="CUST0109"/>
    <s v="Amit"/>
    <s v="Female"/>
    <n v="24"/>
    <s v="Chennai"/>
    <x v="2"/>
    <s v="Home Office"/>
    <x v="0"/>
    <s v="Net Banking"/>
    <s v="Returned"/>
    <n v="5"/>
    <n v="43400"/>
    <n v="184450"/>
    <n v="28526.37"/>
    <n v="0.15465638384386013"/>
  </r>
  <r>
    <s v="ORD0110"/>
    <d v="2024-03-27T00:00:00"/>
    <s v="CUST0110"/>
    <s v="Priya"/>
    <s v="Male"/>
    <n v="31"/>
    <s v="Hyderabad"/>
    <x v="0"/>
    <s v="Corporate"/>
    <x v="3"/>
    <s v="Debit Card"/>
    <s v="Delivered"/>
    <n v="1"/>
    <n v="17795"/>
    <n v="14236"/>
    <n v="3933.24"/>
    <n v="0.27628828322562515"/>
  </r>
  <r>
    <s v="ORD0111"/>
    <d v="2024-10-18T00:00:00"/>
    <s v="CUST0111"/>
    <s v="Rahul"/>
    <s v="Male"/>
    <n v="39"/>
    <s v="Chennai"/>
    <x v="0"/>
    <s v="Corporate"/>
    <x v="3"/>
    <s v="Credit Card"/>
    <s v="Pending"/>
    <n v="5"/>
    <n v="41936"/>
    <n v="178228"/>
    <n v="44421.97"/>
    <n v="0.24924237493547591"/>
  </r>
  <r>
    <s v="ORD0112"/>
    <d v="2024-04-21T00:00:00"/>
    <s v="CUST0112"/>
    <s v="Neha"/>
    <s v="Male"/>
    <n v="45"/>
    <s v="Pune"/>
    <x v="0"/>
    <s v="Consumer"/>
    <x v="1"/>
    <s v="Credit Card"/>
    <s v="Delivered"/>
    <n v="3"/>
    <n v="16296"/>
    <n v="41554.800000000003"/>
    <n v="13790.12"/>
    <n v="0.33185384119283451"/>
  </r>
  <r>
    <s v="ORD0113"/>
    <d v="2024-01-02T00:00:00"/>
    <s v="CUST0113"/>
    <s v="Vikram"/>
    <s v="Female"/>
    <n v="42"/>
    <s v="Bangalore"/>
    <x v="0"/>
    <s v="Home Office"/>
    <x v="4"/>
    <s v="UPI"/>
    <s v="Returned"/>
    <n v="2"/>
    <n v="33242"/>
    <n v="53187.199999999997"/>
    <n v="13698.21"/>
    <n v="0.2575471165994826"/>
  </r>
  <r>
    <s v="ORD0114"/>
    <d v="2024-09-02T00:00:00"/>
    <s v="CUST0114"/>
    <s v="Priya"/>
    <s v="Male"/>
    <n v="38"/>
    <s v="Pune"/>
    <x v="0"/>
    <s v="Corporate"/>
    <x v="0"/>
    <s v="UPI"/>
    <s v="Pending"/>
    <n v="1"/>
    <n v="48332"/>
    <n v="41082.199999999997"/>
    <n v="12163.4"/>
    <n v="0.29607469901806621"/>
  </r>
  <r>
    <s v="ORD0115"/>
    <d v="2024-07-26T00:00:00"/>
    <s v="CUST0115"/>
    <s v="Neha"/>
    <s v="Female"/>
    <n v="18"/>
    <s v="Pune"/>
    <x v="0"/>
    <s v="Corporate"/>
    <x v="3"/>
    <s v="UPI"/>
    <s v="Delivered"/>
    <n v="4"/>
    <n v="27132"/>
    <n v="108528"/>
    <n v="29113.23"/>
    <n v="0.26825547324192833"/>
  </r>
  <r>
    <s v="ORD0116"/>
    <d v="2024-04-17T00:00:00"/>
    <s v="CUST0116"/>
    <s v="Pooja"/>
    <s v="Male"/>
    <n v="22"/>
    <s v="Pune"/>
    <x v="2"/>
    <s v="Corporate"/>
    <x v="3"/>
    <s v="Credit Card"/>
    <s v="Returned"/>
    <n v="3"/>
    <n v="27369"/>
    <n v="73896.3"/>
    <n v="15443.52"/>
    <n v="0.20898908335058725"/>
  </r>
  <r>
    <s v="ORD0117"/>
    <d v="2024-03-01T00:00:00"/>
    <s v="CUST0117"/>
    <s v="Sneha"/>
    <s v="Male"/>
    <n v="59"/>
    <s v="Delhi"/>
    <x v="2"/>
    <s v="Home Office"/>
    <x v="4"/>
    <s v="Debit Card"/>
    <s v="Returned"/>
    <n v="4"/>
    <n v="14764"/>
    <n v="50197.599999999999"/>
    <n v="17868.82"/>
    <n v="0.35596960810875422"/>
  </r>
  <r>
    <s v="ORD0118"/>
    <d v="2024-09-03T00:00:00"/>
    <s v="CUST0118"/>
    <s v="Rohan"/>
    <s v="Male"/>
    <n v="48"/>
    <s v="Chennai"/>
    <x v="0"/>
    <s v="Home Office"/>
    <x v="3"/>
    <s v="UPI"/>
    <s v="Delivered"/>
    <n v="3"/>
    <n v="14371"/>
    <n v="43113"/>
    <n v="11903.55"/>
    <n v="0.27610117597940292"/>
  </r>
  <r>
    <s v="ORD0119"/>
    <d v="2024-08-20T00:00:00"/>
    <s v="CUST0119"/>
    <s v="Amit"/>
    <s v="Female"/>
    <n v="40"/>
    <s v="Pune"/>
    <x v="0"/>
    <s v="Corporate"/>
    <x v="2"/>
    <s v="Debit Card"/>
    <s v="Returned"/>
    <n v="1"/>
    <n v="2182"/>
    <n v="1745.6"/>
    <n v="623.5"/>
    <n v="0.35718377635197068"/>
  </r>
  <r>
    <s v="ORD0120"/>
    <d v="2024-12-27T00:00:00"/>
    <s v="CUST0120"/>
    <s v="Aarav"/>
    <s v="Female"/>
    <n v="60"/>
    <s v="Delhi"/>
    <x v="0"/>
    <s v="Corporate"/>
    <x v="1"/>
    <s v="Credit Card"/>
    <s v="Pending"/>
    <n v="5"/>
    <n v="11372"/>
    <n v="45488"/>
    <n v="7522.4"/>
    <n v="0.16537108688005628"/>
  </r>
  <r>
    <s v="ORD0121"/>
    <d v="2024-06-04T00:00:00"/>
    <s v="CUST0121"/>
    <s v="Ananya"/>
    <s v="Female"/>
    <n v="55"/>
    <s v="Hyderabad"/>
    <x v="1"/>
    <s v="Home Office"/>
    <x v="3"/>
    <s v="Net Banking"/>
    <s v="Pending"/>
    <n v="2"/>
    <n v="9054"/>
    <n v="17202.599999999999"/>
    <n v="2963.51"/>
    <n v="0.17227105205027149"/>
  </r>
  <r>
    <s v="ORD0122"/>
    <d v="2024-08-10T00:00:00"/>
    <s v="CUST0122"/>
    <s v="Priya"/>
    <s v="Male"/>
    <n v="43"/>
    <s v="Chennai"/>
    <x v="0"/>
    <s v="Consumer"/>
    <x v="3"/>
    <s v="Credit Card"/>
    <s v="Pending"/>
    <n v="4"/>
    <n v="7080"/>
    <n v="22656"/>
    <n v="6298.52"/>
    <n v="0.27800670903954805"/>
  </r>
  <r>
    <s v="ORD0123"/>
    <d v="2024-07-23T00:00:00"/>
    <s v="CUST0123"/>
    <s v="Sneha"/>
    <s v="Male"/>
    <n v="47"/>
    <s v="Hyderabad"/>
    <x v="0"/>
    <s v="Corporate"/>
    <x v="1"/>
    <s v="Debit Card"/>
    <s v="Returned"/>
    <n v="3"/>
    <n v="16144"/>
    <n v="48432"/>
    <n v="15002.16"/>
    <n v="0.30975718533201191"/>
  </r>
  <r>
    <s v="ORD0124"/>
    <d v="2024-02-01T00:00:00"/>
    <s v="CUST0124"/>
    <s v="Ananya"/>
    <s v="Male"/>
    <n v="50"/>
    <s v="Bangalore"/>
    <x v="1"/>
    <s v="Home Office"/>
    <x v="3"/>
    <s v="Cash on Delivery"/>
    <s v="Cancelled"/>
    <n v="5"/>
    <n v="26058"/>
    <n v="117261"/>
    <n v="42288.92"/>
    <n v="0.36063925772422201"/>
  </r>
  <r>
    <s v="ORD0125"/>
    <d v="2024-07-19T00:00:00"/>
    <s v="CUST0125"/>
    <s v="Amit"/>
    <s v="Male"/>
    <n v="30"/>
    <s v="Hyderabad"/>
    <x v="0"/>
    <s v="Consumer"/>
    <x v="2"/>
    <s v="Credit Card"/>
    <s v="Cancelled"/>
    <n v="2"/>
    <n v="36116"/>
    <n v="57785.599999999999"/>
    <n v="11184.58"/>
    <n v="0.19355306512349096"/>
  </r>
  <r>
    <s v="ORD0126"/>
    <d v="2024-02-24T00:00:00"/>
    <s v="CUST0126"/>
    <s v="Ananya"/>
    <s v="Male"/>
    <n v="20"/>
    <s v="Hyderabad"/>
    <x v="0"/>
    <s v="Corporate"/>
    <x v="3"/>
    <s v="Credit Card"/>
    <s v="Returned"/>
    <n v="1"/>
    <n v="28334"/>
    <n v="22667.200000000001"/>
    <n v="3978.79"/>
    <n v="0.17553072280652218"/>
  </r>
  <r>
    <s v="ORD0127"/>
    <d v="2024-02-08T00:00:00"/>
    <s v="CUST0127"/>
    <s v="Amit"/>
    <s v="Female"/>
    <n v="55"/>
    <s v="Pune"/>
    <x v="0"/>
    <s v="Corporate"/>
    <x v="0"/>
    <s v="Net Banking"/>
    <s v="Returned"/>
    <n v="1"/>
    <n v="4285"/>
    <n v="3642.25"/>
    <n v="755.32"/>
    <n v="0.20737730798270301"/>
  </r>
  <r>
    <s v="ORD0128"/>
    <d v="2024-11-08T00:00:00"/>
    <s v="CUST0128"/>
    <s v="Amit"/>
    <s v="Male"/>
    <n v="58"/>
    <s v="Delhi"/>
    <x v="1"/>
    <s v="Home Office"/>
    <x v="0"/>
    <s v="UPI"/>
    <s v="Pending"/>
    <n v="1"/>
    <n v="23033"/>
    <n v="19578.05"/>
    <n v="4381.6499999999996"/>
    <n v="0.22380420930582973"/>
  </r>
  <r>
    <s v="ORD0129"/>
    <d v="2024-03-01T00:00:00"/>
    <s v="CUST0129"/>
    <s v="Neha"/>
    <s v="Male"/>
    <n v="43"/>
    <s v="Bangalore"/>
    <x v="0"/>
    <s v="Home Office"/>
    <x v="2"/>
    <s v="Credit Card"/>
    <s v="Cancelled"/>
    <n v="2"/>
    <n v="31211"/>
    <n v="56179.8"/>
    <n v="12676.82"/>
    <n v="0.22564729671518943"/>
  </r>
  <r>
    <s v="ORD0130"/>
    <d v="2024-04-18T00:00:00"/>
    <s v="CUST0130"/>
    <s v="Ananya"/>
    <s v="Female"/>
    <n v="60"/>
    <s v="Mumbai"/>
    <x v="0"/>
    <s v="Corporate"/>
    <x v="1"/>
    <s v="Net Banking"/>
    <s v="Delivered"/>
    <n v="3"/>
    <n v="5860"/>
    <n v="14943"/>
    <n v="2671.05"/>
    <n v="0.17874924713912871"/>
  </r>
  <r>
    <s v="ORD0131"/>
    <d v="2024-03-29T00:00:00"/>
    <s v="CUST0131"/>
    <s v="Ananya"/>
    <s v="Male"/>
    <n v="50"/>
    <s v="Hyderabad"/>
    <x v="1"/>
    <s v="Home Office"/>
    <x v="0"/>
    <s v="UPI"/>
    <s v="Returned"/>
    <n v="1"/>
    <n v="27106"/>
    <n v="25750.7"/>
    <n v="8736.5"/>
    <n v="0.33927233046091948"/>
  </r>
  <r>
    <s v="ORD0132"/>
    <d v="2024-05-22T00:00:00"/>
    <s v="CUST0132"/>
    <s v="Rohan"/>
    <s v="Female"/>
    <n v="55"/>
    <s v="Pune"/>
    <x v="2"/>
    <s v="Home Office"/>
    <x v="0"/>
    <s v="Net Banking"/>
    <s v="Delivered"/>
    <n v="2"/>
    <n v="13711"/>
    <n v="27422"/>
    <n v="7940.63"/>
    <n v="0.28957151192473196"/>
  </r>
  <r>
    <s v="ORD0133"/>
    <d v="2024-03-28T00:00:00"/>
    <s v="CUST0133"/>
    <s v="Amit"/>
    <s v="Male"/>
    <n v="36"/>
    <s v="Bangalore"/>
    <x v="0"/>
    <s v="Corporate"/>
    <x v="0"/>
    <s v="UPI"/>
    <s v="Pending"/>
    <n v="4"/>
    <n v="30810"/>
    <n v="98592"/>
    <n v="29759.1"/>
    <n v="0.30184092015579356"/>
  </r>
  <r>
    <s v="ORD0134"/>
    <d v="2024-08-19T00:00:00"/>
    <s v="CUST0134"/>
    <s v="Priya"/>
    <s v="Male"/>
    <n v="54"/>
    <s v="Delhi"/>
    <x v="0"/>
    <s v="Consumer"/>
    <x v="0"/>
    <s v="Credit Card"/>
    <s v="Delivered"/>
    <n v="4"/>
    <n v="32471"/>
    <n v="110401.4"/>
    <n v="34650.39"/>
    <n v="0.31385824817438912"/>
  </r>
  <r>
    <s v="ORD0135"/>
    <d v="2024-06-21T00:00:00"/>
    <s v="CUST0135"/>
    <s v="Aarav"/>
    <s v="Male"/>
    <n v="29"/>
    <s v="Bangalore"/>
    <x v="0"/>
    <s v="Consumer"/>
    <x v="3"/>
    <s v="Cash on Delivery"/>
    <s v="Cancelled"/>
    <n v="2"/>
    <n v="39976"/>
    <n v="71956.800000000003"/>
    <n v="18734.36"/>
    <n v="0.26035565783914794"/>
  </r>
  <r>
    <s v="ORD0136"/>
    <d v="2024-05-19T00:00:00"/>
    <s v="CUST0136"/>
    <s v="Rahul"/>
    <s v="Female"/>
    <n v="60"/>
    <s v="Mumbai"/>
    <x v="0"/>
    <s v="Home Office"/>
    <x v="4"/>
    <s v="Net Banking"/>
    <s v="Pending"/>
    <n v="4"/>
    <n v="29322"/>
    <n v="93830.399999999994"/>
    <n v="18348.23"/>
    <n v="0.19554675243844213"/>
  </r>
  <r>
    <s v="ORD0137"/>
    <d v="2024-05-06T00:00:00"/>
    <s v="CUST0137"/>
    <s v="Sneha"/>
    <s v="Female"/>
    <n v="30"/>
    <s v="Hyderabad"/>
    <x v="1"/>
    <s v="Consumer"/>
    <x v="2"/>
    <s v="UPI"/>
    <s v="Cancelled"/>
    <n v="3"/>
    <n v="48424"/>
    <n v="123481.2"/>
    <n v="21612.48"/>
    <n v="0.1750264817640256"/>
  </r>
  <r>
    <s v="ORD0138"/>
    <d v="2024-12-03T00:00:00"/>
    <s v="CUST0138"/>
    <s v="Amit"/>
    <s v="Male"/>
    <n v="50"/>
    <s v="Bangalore"/>
    <x v="0"/>
    <s v="Consumer"/>
    <x v="3"/>
    <s v="Cash on Delivery"/>
    <s v="Cancelled"/>
    <n v="2"/>
    <n v="48141"/>
    <n v="96282"/>
    <n v="25493.200000000001"/>
    <n v="0.26477638603269565"/>
  </r>
  <r>
    <s v="ORD0139"/>
    <d v="2024-05-03T00:00:00"/>
    <s v="CUST0139"/>
    <s v="Rahul"/>
    <s v="Female"/>
    <n v="18"/>
    <s v="Pune"/>
    <x v="1"/>
    <s v="Corporate"/>
    <x v="4"/>
    <s v="Cash on Delivery"/>
    <s v="Delivered"/>
    <n v="3"/>
    <n v="18047"/>
    <n v="48726.9"/>
    <n v="9240.7999999999993"/>
    <n v="0.18964473422278041"/>
  </r>
  <r>
    <s v="ORD0140"/>
    <d v="2024-04-19T00:00:00"/>
    <s v="CUST0140"/>
    <s v="Ananya"/>
    <s v="Female"/>
    <n v="42"/>
    <s v="Hyderabad"/>
    <x v="2"/>
    <s v="Home Office"/>
    <x v="4"/>
    <s v="Net Banking"/>
    <s v="Delivered"/>
    <n v="3"/>
    <n v="2884"/>
    <n v="6921.6"/>
    <n v="2692.02"/>
    <n v="0.38893030513176141"/>
  </r>
  <r>
    <s v="ORD0141"/>
    <d v="2024-09-25T00:00:00"/>
    <s v="CUST0141"/>
    <s v="Rahul"/>
    <s v="Female"/>
    <n v="42"/>
    <s v="Pune"/>
    <x v="0"/>
    <s v="Home Office"/>
    <x v="1"/>
    <s v="Cash on Delivery"/>
    <s v="Returned"/>
    <n v="4"/>
    <n v="14054"/>
    <n v="56216"/>
    <n v="12592.65"/>
    <n v="0.22400473174896826"/>
  </r>
  <r>
    <s v="ORD0142"/>
    <d v="2024-10-28T00:00:00"/>
    <s v="CUST0142"/>
    <s v="Aarav"/>
    <s v="Female"/>
    <n v="21"/>
    <s v="Mumbai"/>
    <x v="0"/>
    <s v="Corporate"/>
    <x v="0"/>
    <s v="Cash on Delivery"/>
    <s v="Delivered"/>
    <n v="5"/>
    <n v="7030"/>
    <n v="35150"/>
    <n v="9721.89"/>
    <n v="0.27658293029871978"/>
  </r>
  <r>
    <s v="ORD0143"/>
    <d v="2024-07-28T00:00:00"/>
    <s v="CUST0143"/>
    <s v="Rahul"/>
    <s v="Female"/>
    <n v="23"/>
    <s v="Mumbai"/>
    <x v="1"/>
    <s v="Consumer"/>
    <x v="3"/>
    <s v="Credit Card"/>
    <s v="Pending"/>
    <n v="2"/>
    <n v="10739"/>
    <n v="18256.3"/>
    <n v="3167.07"/>
    <n v="0.17347819656776017"/>
  </r>
  <r>
    <s v="ORD0144"/>
    <d v="2024-03-08T00:00:00"/>
    <s v="CUST0144"/>
    <s v="Vikram"/>
    <s v="Male"/>
    <n v="56"/>
    <s v="Pune"/>
    <x v="2"/>
    <s v="Home Office"/>
    <x v="1"/>
    <s v="Net Banking"/>
    <s v="Pending"/>
    <n v="5"/>
    <n v="19822"/>
    <n v="84243.5"/>
    <n v="20473.509999999998"/>
    <n v="0.24302777068853976"/>
  </r>
  <r>
    <s v="ORD0145"/>
    <d v="2024-05-19T00:00:00"/>
    <s v="CUST0145"/>
    <s v="Vikram"/>
    <s v="Male"/>
    <n v="42"/>
    <s v="Delhi"/>
    <x v="1"/>
    <s v="Consumer"/>
    <x v="3"/>
    <s v="Credit Card"/>
    <s v="Returned"/>
    <n v="3"/>
    <n v="43626"/>
    <n v="130878"/>
    <n v="36328.18"/>
    <n v="0.27757285410840632"/>
  </r>
  <r>
    <s v="ORD0146"/>
    <d v="2024-11-10T00:00:00"/>
    <s v="CUST0146"/>
    <s v="Neha"/>
    <s v="Female"/>
    <n v="37"/>
    <s v="Pune"/>
    <x v="0"/>
    <s v="Home Office"/>
    <x v="2"/>
    <s v="UPI"/>
    <s v="Cancelled"/>
    <n v="1"/>
    <n v="38397"/>
    <n v="32637.45"/>
    <n v="8775.74"/>
    <n v="0.26888559002005363"/>
  </r>
  <r>
    <s v="ORD0147"/>
    <d v="2024-10-23T00:00:00"/>
    <s v="CUST0147"/>
    <s v="Priya"/>
    <s v="Female"/>
    <n v="29"/>
    <s v="Pune"/>
    <x v="0"/>
    <s v="Corporate"/>
    <x v="3"/>
    <s v="Net Banking"/>
    <s v="Delivered"/>
    <n v="2"/>
    <n v="29926"/>
    <n v="56859.4"/>
    <n v="16410.080000000002"/>
    <n v="0.28860804018332942"/>
  </r>
  <r>
    <s v="ORD0148"/>
    <d v="2024-05-21T00:00:00"/>
    <s v="CUST0148"/>
    <s v="Amit"/>
    <s v="Male"/>
    <n v="59"/>
    <s v="Mumbai"/>
    <x v="0"/>
    <s v="Consumer"/>
    <x v="0"/>
    <s v="Net Banking"/>
    <s v="Delivered"/>
    <n v="3"/>
    <n v="32418"/>
    <n v="77803.199999999997"/>
    <n v="22213.71"/>
    <n v="0.28551152137701274"/>
  </r>
  <r>
    <s v="ORD0149"/>
    <d v="2024-02-01T00:00:00"/>
    <s v="CUST0149"/>
    <s v="Sneha"/>
    <s v="Female"/>
    <n v="55"/>
    <s v="Delhi"/>
    <x v="0"/>
    <s v="Home Office"/>
    <x v="2"/>
    <s v="Cash on Delivery"/>
    <s v="Pending"/>
    <n v="3"/>
    <n v="12218"/>
    <n v="31155.9"/>
    <n v="8431.08"/>
    <n v="0.27060941908274194"/>
  </r>
  <r>
    <s v="ORD0150"/>
    <d v="2024-11-04T00:00:00"/>
    <s v="CUST0150"/>
    <s v="Pooja"/>
    <s v="Male"/>
    <n v="50"/>
    <s v="Mumbai"/>
    <x v="0"/>
    <s v="Corporate"/>
    <x v="3"/>
    <s v="UPI"/>
    <s v="Pending"/>
    <n v="4"/>
    <n v="8532"/>
    <n v="32421.599999999999"/>
    <n v="9122.56"/>
    <n v="0.28137291188590324"/>
  </r>
  <r>
    <s v="ORD0151"/>
    <d v="2024-08-11T00:00:00"/>
    <s v="CUST0151"/>
    <s v="Amit"/>
    <s v="Female"/>
    <n v="45"/>
    <s v="Mumbai"/>
    <x v="1"/>
    <s v="Home Office"/>
    <x v="3"/>
    <s v="Net Banking"/>
    <s v="Pending"/>
    <n v="2"/>
    <n v="29212"/>
    <n v="49660.4"/>
    <n v="18420.349999999999"/>
    <n v="0.37092633164452959"/>
  </r>
  <r>
    <s v="ORD0152"/>
    <d v="2024-01-15T00:00:00"/>
    <s v="CUST0152"/>
    <s v="Sneha"/>
    <s v="Female"/>
    <n v="55"/>
    <s v="Hyderabad"/>
    <x v="0"/>
    <s v="Home Office"/>
    <x v="0"/>
    <s v="UPI"/>
    <s v="Cancelled"/>
    <n v="2"/>
    <n v="13788"/>
    <n v="24818.400000000001"/>
    <n v="4993.8500000000004"/>
    <n v="0.2012156303387809"/>
  </r>
  <r>
    <s v="ORD0153"/>
    <d v="2024-04-17T00:00:00"/>
    <s v="CUST0153"/>
    <s v="Neha"/>
    <s v="Female"/>
    <n v="19"/>
    <s v="Bangalore"/>
    <x v="0"/>
    <s v="Corporate"/>
    <x v="4"/>
    <s v="Net Banking"/>
    <s v="Returned"/>
    <n v="1"/>
    <n v="18898"/>
    <n v="17008.2"/>
    <n v="5006.71"/>
    <n v="0.29437036253101445"/>
  </r>
  <r>
    <s v="ORD0154"/>
    <d v="2024-07-16T00:00:00"/>
    <s v="CUST0154"/>
    <s v="Neha"/>
    <s v="Male"/>
    <n v="28"/>
    <s v="Bangalore"/>
    <x v="0"/>
    <s v="Consumer"/>
    <x v="2"/>
    <s v="UPI"/>
    <s v="Pending"/>
    <n v="2"/>
    <n v="48913"/>
    <n v="78260.800000000003"/>
    <n v="13420.15"/>
    <n v="0.17147984687097498"/>
  </r>
  <r>
    <s v="ORD0155"/>
    <d v="2024-03-09T00:00:00"/>
    <s v="CUST0155"/>
    <s v="Priya"/>
    <s v="Female"/>
    <n v="26"/>
    <s v="Delhi"/>
    <x v="0"/>
    <s v="Corporate"/>
    <x v="4"/>
    <s v="Credit Card"/>
    <s v="Delivered"/>
    <n v="3"/>
    <n v="37163"/>
    <n v="100340.1"/>
    <n v="27188.5"/>
    <n v="0.27096345329534255"/>
  </r>
  <r>
    <s v="ORD0156"/>
    <d v="2024-10-03T00:00:00"/>
    <s v="CUST0156"/>
    <s v="Rahul"/>
    <s v="Female"/>
    <n v="45"/>
    <s v="Mumbai"/>
    <x v="0"/>
    <s v="Consumer"/>
    <x v="0"/>
    <s v="Cash on Delivery"/>
    <s v="Cancelled"/>
    <n v="3"/>
    <n v="3906"/>
    <n v="9960.2999999999993"/>
    <n v="3178.18"/>
    <n v="0.3190847665230967"/>
  </r>
  <r>
    <s v="ORD0157"/>
    <d v="2024-09-02T00:00:00"/>
    <s v="CUST0157"/>
    <s v="Pooja"/>
    <s v="Male"/>
    <n v="26"/>
    <s v="Chennai"/>
    <x v="2"/>
    <s v="Consumer"/>
    <x v="2"/>
    <s v="Net Banking"/>
    <s v="Pending"/>
    <n v="1"/>
    <n v="3922"/>
    <n v="3725.9"/>
    <n v="1348.77"/>
    <n v="0.36199844332912851"/>
  </r>
  <r>
    <s v="ORD0158"/>
    <d v="2024-06-21T00:00:00"/>
    <s v="CUST0158"/>
    <s v="Pooja"/>
    <s v="Female"/>
    <n v="47"/>
    <s v="Mumbai"/>
    <x v="0"/>
    <s v="Corporate"/>
    <x v="2"/>
    <s v="UPI"/>
    <s v="Pending"/>
    <n v="1"/>
    <n v="29825"/>
    <n v="28333.75"/>
    <n v="11117.47"/>
    <n v="0.39237552388935454"/>
  </r>
  <r>
    <s v="ORD0159"/>
    <d v="2024-07-04T00:00:00"/>
    <s v="CUST0159"/>
    <s v="Amit"/>
    <s v="Female"/>
    <n v="42"/>
    <s v="Pune"/>
    <x v="0"/>
    <s v="Corporate"/>
    <x v="3"/>
    <s v="Credit Card"/>
    <s v="Cancelled"/>
    <n v="2"/>
    <n v="39256"/>
    <n v="62809.599999999999"/>
    <n v="18880.04"/>
    <n v="0.30059162930507438"/>
  </r>
  <r>
    <s v="ORD0160"/>
    <d v="2024-11-09T00:00:00"/>
    <s v="CUST0160"/>
    <s v="Ananya"/>
    <s v="Male"/>
    <n v="55"/>
    <s v="Bangalore"/>
    <x v="1"/>
    <s v="Consumer"/>
    <x v="1"/>
    <s v="Cash on Delivery"/>
    <s v="Delivered"/>
    <n v="3"/>
    <n v="35722"/>
    <n v="91091.1"/>
    <n v="29535.93"/>
    <n v="0.32424605696934167"/>
  </r>
  <r>
    <s v="ORD0161"/>
    <d v="2024-04-22T00:00:00"/>
    <s v="CUST0161"/>
    <s v="Aarav"/>
    <s v="Male"/>
    <n v="36"/>
    <s v="Bangalore"/>
    <x v="0"/>
    <s v="Home Office"/>
    <x v="4"/>
    <s v="Cash on Delivery"/>
    <s v="Returned"/>
    <n v="4"/>
    <n v="23862"/>
    <n v="90675.6"/>
    <n v="35854.949999999997"/>
    <n v="0.39542004684832516"/>
  </r>
  <r>
    <s v="ORD0162"/>
    <d v="2024-12-18T00:00:00"/>
    <s v="CUST0162"/>
    <s v="Ananya"/>
    <s v="Female"/>
    <n v="46"/>
    <s v="Bangalore"/>
    <x v="0"/>
    <s v="Corporate"/>
    <x v="3"/>
    <s v="UPI"/>
    <s v="Cancelled"/>
    <n v="5"/>
    <n v="15162"/>
    <n v="75810"/>
    <n v="26166.3"/>
    <n v="0.34515631183221213"/>
  </r>
  <r>
    <s v="ORD0163"/>
    <d v="2024-05-09T00:00:00"/>
    <s v="CUST0163"/>
    <s v="Pooja"/>
    <s v="Male"/>
    <n v="18"/>
    <s v="Hyderabad"/>
    <x v="2"/>
    <s v="Consumer"/>
    <x v="1"/>
    <s v="Cash on Delivery"/>
    <s v="Cancelled"/>
    <n v="1"/>
    <n v="32660"/>
    <n v="27761"/>
    <n v="9213.09"/>
    <n v="0.33187169050106263"/>
  </r>
  <r>
    <s v="ORD0164"/>
    <d v="2024-07-29T00:00:00"/>
    <s v="CUST0164"/>
    <s v="Priya"/>
    <s v="Female"/>
    <n v="22"/>
    <s v="Bangalore"/>
    <x v="1"/>
    <s v="Corporate"/>
    <x v="0"/>
    <s v="Cash on Delivery"/>
    <s v="Returned"/>
    <n v="5"/>
    <n v="3258"/>
    <n v="15475.5"/>
    <n v="5308.24"/>
    <n v="0.34300927272139831"/>
  </r>
  <r>
    <s v="ORD0165"/>
    <d v="2024-09-17T00:00:00"/>
    <s v="CUST0165"/>
    <s v="Vikram"/>
    <s v="Male"/>
    <n v="44"/>
    <s v="Hyderabad"/>
    <x v="2"/>
    <s v="Corporate"/>
    <x v="2"/>
    <s v="Debit Card"/>
    <s v="Delivered"/>
    <n v="1"/>
    <n v="19866"/>
    <n v="16886.099999999999"/>
    <n v="4612.74"/>
    <n v="0.27316787179988278"/>
  </r>
  <r>
    <s v="ORD0166"/>
    <d v="2024-04-06T00:00:00"/>
    <s v="CUST0166"/>
    <s v="Rohan"/>
    <s v="Male"/>
    <n v="57"/>
    <s v="Pune"/>
    <x v="0"/>
    <s v="Consumer"/>
    <x v="2"/>
    <s v="Cash on Delivery"/>
    <s v="Cancelled"/>
    <n v="3"/>
    <n v="17087"/>
    <n v="48697.95"/>
    <n v="18783.39"/>
    <n v="0.38571212956602896"/>
  </r>
  <r>
    <s v="ORD0167"/>
    <d v="2024-02-15T00:00:00"/>
    <s v="CUST0167"/>
    <s v="Neha"/>
    <s v="Male"/>
    <n v="60"/>
    <s v="Mumbai"/>
    <x v="0"/>
    <s v="Consumer"/>
    <x v="0"/>
    <s v="UPI"/>
    <s v="Pending"/>
    <n v="4"/>
    <n v="5657"/>
    <n v="18102.400000000001"/>
    <n v="6723.74"/>
    <n v="0.3714280979317659"/>
  </r>
  <r>
    <s v="ORD0168"/>
    <d v="2024-05-22T00:00:00"/>
    <s v="CUST0168"/>
    <s v="Vikram"/>
    <s v="Female"/>
    <n v="37"/>
    <s v="Mumbai"/>
    <x v="0"/>
    <s v="Corporate"/>
    <x v="4"/>
    <s v="Debit Card"/>
    <s v="Cancelled"/>
    <n v="1"/>
    <n v="8506"/>
    <n v="8506"/>
    <n v="2272.4499999999998"/>
    <n v="0.26715847636962142"/>
  </r>
  <r>
    <s v="ORD0169"/>
    <d v="2024-05-25T00:00:00"/>
    <s v="CUST0169"/>
    <s v="Rahul"/>
    <s v="Male"/>
    <n v="18"/>
    <s v="Chennai"/>
    <x v="2"/>
    <s v="Home Office"/>
    <x v="4"/>
    <s v="Cash on Delivery"/>
    <s v="Delivered"/>
    <n v="4"/>
    <n v="36625"/>
    <n v="139175"/>
    <n v="34191.839999999997"/>
    <n v="0.24567515717621696"/>
  </r>
  <r>
    <s v="ORD0170"/>
    <d v="2024-04-22T00:00:00"/>
    <s v="CUST0170"/>
    <s v="Pooja"/>
    <s v="Female"/>
    <n v="24"/>
    <s v="Chennai"/>
    <x v="0"/>
    <s v="Home Office"/>
    <x v="0"/>
    <s v="Net Banking"/>
    <s v="Returned"/>
    <n v="1"/>
    <n v="38829"/>
    <n v="38829"/>
    <n v="9200.99"/>
    <n v="0.23696180689690693"/>
  </r>
  <r>
    <s v="ORD0171"/>
    <d v="2024-06-17T00:00:00"/>
    <s v="CUST0171"/>
    <s v="Priya"/>
    <s v="Male"/>
    <n v="44"/>
    <s v="Chennai"/>
    <x v="0"/>
    <s v="Consumer"/>
    <x v="2"/>
    <s v="Debit Card"/>
    <s v="Cancelled"/>
    <n v="3"/>
    <n v="24228"/>
    <n v="72684"/>
    <n v="15358.07"/>
    <n v="0.21129918551538165"/>
  </r>
  <r>
    <s v="ORD0172"/>
    <d v="2024-05-01T00:00:00"/>
    <s v="CUST0172"/>
    <s v="Pooja"/>
    <s v="Male"/>
    <n v="37"/>
    <s v="Chennai"/>
    <x v="1"/>
    <s v="Home Office"/>
    <x v="2"/>
    <s v="Net Banking"/>
    <s v="Returned"/>
    <n v="5"/>
    <n v="32245"/>
    <n v="145102.5"/>
    <n v="37346.86"/>
    <n v="0.25738260884547132"/>
  </r>
  <r>
    <s v="ORD0173"/>
    <d v="2024-09-04T00:00:00"/>
    <s v="CUST0173"/>
    <s v="Rohan"/>
    <s v="Male"/>
    <n v="48"/>
    <s v="Mumbai"/>
    <x v="1"/>
    <s v="Home Office"/>
    <x v="1"/>
    <s v="Credit Card"/>
    <s v="Delivered"/>
    <n v="5"/>
    <n v="26795"/>
    <n v="127276.25"/>
    <n v="21367.73"/>
    <n v="0.16788466033529428"/>
  </r>
  <r>
    <s v="ORD0174"/>
    <d v="2024-12-04T00:00:00"/>
    <s v="CUST0174"/>
    <s v="Pooja"/>
    <s v="Male"/>
    <n v="43"/>
    <s v="Hyderabad"/>
    <x v="0"/>
    <s v="Corporate"/>
    <x v="1"/>
    <s v="Cash on Delivery"/>
    <s v="Cancelled"/>
    <n v="2"/>
    <n v="34854"/>
    <n v="66222.600000000006"/>
    <n v="10609.12"/>
    <n v="0.16020391829979494"/>
  </r>
  <r>
    <s v="ORD0175"/>
    <d v="2024-01-30T00:00:00"/>
    <s v="CUST0175"/>
    <s v="Ananya"/>
    <s v="Female"/>
    <n v="20"/>
    <s v="Hyderabad"/>
    <x v="0"/>
    <s v="Home Office"/>
    <x v="2"/>
    <s v="Debit Card"/>
    <s v="Cancelled"/>
    <n v="5"/>
    <n v="27539"/>
    <n v="117040.75"/>
    <n v="30003.08"/>
    <n v="0.25634729784284532"/>
  </r>
  <r>
    <s v="ORD0176"/>
    <d v="2024-12-16T00:00:00"/>
    <s v="CUST0176"/>
    <s v="Amit"/>
    <s v="Female"/>
    <n v="51"/>
    <s v="Bangalore"/>
    <x v="1"/>
    <s v="Home Office"/>
    <x v="2"/>
    <s v="Cash on Delivery"/>
    <s v="Pending"/>
    <n v="5"/>
    <n v="21976"/>
    <n v="109880"/>
    <n v="26747.74"/>
    <n v="0.2434268292682927"/>
  </r>
  <r>
    <s v="ORD0177"/>
    <d v="2024-06-29T00:00:00"/>
    <s v="CUST0177"/>
    <s v="Rohan"/>
    <s v="Male"/>
    <n v="45"/>
    <s v="Bangalore"/>
    <x v="2"/>
    <s v="Corporate"/>
    <x v="0"/>
    <s v="Debit Card"/>
    <s v="Pending"/>
    <n v="4"/>
    <n v="7531"/>
    <n v="24099.200000000001"/>
    <n v="6743.41"/>
    <n v="0.27981883216040365"/>
  </r>
  <r>
    <s v="ORD0178"/>
    <d v="2024-12-02T00:00:00"/>
    <s v="CUST0178"/>
    <s v="Amit"/>
    <s v="Male"/>
    <n v="23"/>
    <s v="Hyderabad"/>
    <x v="0"/>
    <s v="Corporate"/>
    <x v="2"/>
    <s v="UPI"/>
    <s v="Cancelled"/>
    <n v="5"/>
    <n v="501"/>
    <n v="2004"/>
    <n v="727.97"/>
    <n v="0.36325848303393216"/>
  </r>
  <r>
    <s v="ORD0179"/>
    <d v="2024-04-24T00:00:00"/>
    <s v="CUST0179"/>
    <s v="Neha"/>
    <s v="Male"/>
    <n v="18"/>
    <s v="Chennai"/>
    <x v="0"/>
    <s v="Corporate"/>
    <x v="4"/>
    <s v="Net Banking"/>
    <s v="Cancelled"/>
    <n v="4"/>
    <n v="42913"/>
    <n v="145904.20000000001"/>
    <n v="37469.68"/>
    <n v="0.25681015351168779"/>
  </r>
  <r>
    <s v="ORD0180"/>
    <d v="2024-08-11T00:00:00"/>
    <s v="CUST0180"/>
    <s v="Neha"/>
    <s v="Male"/>
    <n v="43"/>
    <s v="Pune"/>
    <x v="2"/>
    <s v="Corporate"/>
    <x v="1"/>
    <s v="Cash on Delivery"/>
    <s v="Returned"/>
    <n v="3"/>
    <n v="29024"/>
    <n v="87072"/>
    <n v="31691.72"/>
    <n v="0.3639714259463433"/>
  </r>
  <r>
    <s v="ORD0181"/>
    <d v="2024-01-05T00:00:00"/>
    <s v="CUST0181"/>
    <s v="Vikram"/>
    <s v="Female"/>
    <n v="36"/>
    <s v="Pune"/>
    <x v="2"/>
    <s v="Consumer"/>
    <x v="0"/>
    <s v="Net Banking"/>
    <s v="Cancelled"/>
    <n v="5"/>
    <n v="14222"/>
    <n v="60443.5"/>
    <n v="23475.62"/>
    <n v="0.38838948770339243"/>
  </r>
  <r>
    <s v="ORD0182"/>
    <d v="2024-07-25T00:00:00"/>
    <s v="CUST0182"/>
    <s v="Amit"/>
    <s v="Male"/>
    <n v="60"/>
    <s v="Delhi"/>
    <x v="0"/>
    <s v="Corporate"/>
    <x v="3"/>
    <s v="Credit Card"/>
    <s v="Pending"/>
    <n v="3"/>
    <n v="11503"/>
    <n v="31058.1"/>
    <n v="7789.61"/>
    <n v="0.25080767980011653"/>
  </r>
  <r>
    <s v="ORD0183"/>
    <d v="2024-03-03T00:00:00"/>
    <s v="CUST0183"/>
    <s v="Priya"/>
    <s v="Female"/>
    <n v="31"/>
    <s v="Chennai"/>
    <x v="2"/>
    <s v="Consumer"/>
    <x v="3"/>
    <s v="Debit Card"/>
    <s v="Returned"/>
    <n v="4"/>
    <n v="26185"/>
    <n v="99503"/>
    <n v="37681"/>
    <n v="0.37869209973568635"/>
  </r>
  <r>
    <s v="ORD0184"/>
    <d v="2024-05-08T00:00:00"/>
    <s v="CUST0184"/>
    <s v="Sneha"/>
    <s v="Male"/>
    <n v="58"/>
    <s v="Delhi"/>
    <x v="0"/>
    <s v="Consumer"/>
    <x v="1"/>
    <s v="Debit Card"/>
    <s v="Pending"/>
    <n v="2"/>
    <n v="47332"/>
    <n v="85197.6"/>
    <n v="22527.69"/>
    <n v="0.26441695540719451"/>
  </r>
  <r>
    <s v="ORD0185"/>
    <d v="2024-08-26T00:00:00"/>
    <s v="CUST0185"/>
    <s v="Priya"/>
    <s v="Male"/>
    <n v="39"/>
    <s v="Chennai"/>
    <x v="0"/>
    <s v="Consumer"/>
    <x v="2"/>
    <s v="Credit Card"/>
    <s v="Delivered"/>
    <n v="1"/>
    <n v="2874"/>
    <n v="2299.1999999999998"/>
    <n v="731.72"/>
    <n v="0.31824982602644403"/>
  </r>
  <r>
    <s v="ORD0186"/>
    <d v="2024-08-20T00:00:00"/>
    <s v="CUST0186"/>
    <s v="Vikram"/>
    <s v="Female"/>
    <n v="32"/>
    <s v="Chennai"/>
    <x v="0"/>
    <s v="Corporate"/>
    <x v="0"/>
    <s v="Credit Card"/>
    <s v="Delivered"/>
    <n v="3"/>
    <n v="11244"/>
    <n v="30358.799999999999"/>
    <n v="8330.07"/>
    <n v="0.27438732756235423"/>
  </r>
  <r>
    <s v="ORD0187"/>
    <d v="2024-12-12T00:00:00"/>
    <s v="CUST0187"/>
    <s v="Ananya"/>
    <s v="Male"/>
    <n v="45"/>
    <s v="Pune"/>
    <x v="2"/>
    <s v="Corporate"/>
    <x v="2"/>
    <s v="Net Banking"/>
    <s v="Returned"/>
    <n v="1"/>
    <n v="15668"/>
    <n v="14884.6"/>
    <n v="5068.92"/>
    <n v="0.34054794888676887"/>
  </r>
  <r>
    <s v="ORD0188"/>
    <d v="2024-03-16T00:00:00"/>
    <s v="CUST0188"/>
    <s v="Aarav"/>
    <s v="Male"/>
    <n v="40"/>
    <s v="Delhi"/>
    <x v="0"/>
    <s v="Consumer"/>
    <x v="4"/>
    <s v="Debit Card"/>
    <s v="Delivered"/>
    <n v="3"/>
    <n v="19248"/>
    <n v="51969.599999999999"/>
    <n v="17880.43"/>
    <n v="0.34405556325236292"/>
  </r>
  <r>
    <s v="ORD0189"/>
    <d v="2024-04-20T00:00:00"/>
    <s v="CUST0189"/>
    <s v="Vikram"/>
    <s v="Male"/>
    <n v="41"/>
    <s v="Hyderabad"/>
    <x v="1"/>
    <s v="Corporate"/>
    <x v="4"/>
    <s v="UPI"/>
    <s v="Delivered"/>
    <n v="4"/>
    <n v="10492"/>
    <n v="33574.400000000001"/>
    <n v="6675.15"/>
    <n v="0.19881665792985129"/>
  </r>
  <r>
    <s v="ORD0190"/>
    <d v="2024-04-03T00:00:00"/>
    <s v="CUST0190"/>
    <s v="Ananya"/>
    <s v="Female"/>
    <n v="38"/>
    <s v="Hyderabad"/>
    <x v="0"/>
    <s v="Home Office"/>
    <x v="1"/>
    <s v="Credit Card"/>
    <s v="Delivered"/>
    <n v="4"/>
    <n v="44886"/>
    <n v="161589.6"/>
    <n v="63887.83"/>
    <n v="0.39537092733690782"/>
  </r>
  <r>
    <s v="ORD0191"/>
    <d v="2024-11-23T00:00:00"/>
    <s v="CUST0191"/>
    <s v="Rahul"/>
    <s v="Male"/>
    <n v="37"/>
    <s v="Delhi"/>
    <x v="0"/>
    <s v="Home Office"/>
    <x v="3"/>
    <s v="Cash on Delivery"/>
    <s v="Cancelled"/>
    <n v="5"/>
    <n v="32242"/>
    <n v="128968"/>
    <n v="30314.560000000001"/>
    <n v="0.23505489733887477"/>
  </r>
  <r>
    <s v="ORD0192"/>
    <d v="2024-02-11T00:00:00"/>
    <s v="CUST0192"/>
    <s v="Rahul"/>
    <s v="Female"/>
    <n v="31"/>
    <s v="Chennai"/>
    <x v="2"/>
    <s v="Corporate"/>
    <x v="2"/>
    <s v="UPI"/>
    <s v="Returned"/>
    <n v="3"/>
    <n v="23564"/>
    <n v="67157.399999999994"/>
    <n v="17879.330000000002"/>
    <n v="0.26623022928225337"/>
  </r>
  <r>
    <s v="ORD0193"/>
    <d v="2024-01-11T00:00:00"/>
    <s v="CUST0193"/>
    <s v="Pooja"/>
    <s v="Male"/>
    <n v="33"/>
    <s v="Pune"/>
    <x v="0"/>
    <s v="Home Office"/>
    <x v="3"/>
    <s v="Cash on Delivery"/>
    <s v="Cancelled"/>
    <n v="3"/>
    <n v="38096"/>
    <n v="97144.8"/>
    <n v="38762.29"/>
    <n v="0.39901559321754743"/>
  </r>
  <r>
    <s v="ORD0194"/>
    <d v="2024-10-14T00:00:00"/>
    <s v="CUST0194"/>
    <s v="Sneha"/>
    <s v="Female"/>
    <n v="23"/>
    <s v="Pune"/>
    <x v="0"/>
    <s v="Corporate"/>
    <x v="0"/>
    <s v="Cash on Delivery"/>
    <s v="Cancelled"/>
    <n v="4"/>
    <n v="18156"/>
    <n v="61730.400000000001"/>
    <n v="15128.81"/>
    <n v="0.24507876184181537"/>
  </r>
  <r>
    <s v="ORD0195"/>
    <d v="2024-04-20T00:00:00"/>
    <s v="CUST0195"/>
    <s v="Priya"/>
    <s v="Male"/>
    <n v="30"/>
    <s v="Delhi"/>
    <x v="0"/>
    <s v="Home Office"/>
    <x v="3"/>
    <s v="Net Banking"/>
    <s v="Delivered"/>
    <n v="3"/>
    <n v="25487"/>
    <n v="61168.800000000003"/>
    <n v="18142.02"/>
    <n v="0.29658943775257973"/>
  </r>
  <r>
    <s v="ORD0196"/>
    <d v="2024-10-17T00:00:00"/>
    <s v="CUST0196"/>
    <s v="Rohan"/>
    <s v="Male"/>
    <n v="39"/>
    <s v="Bangalore"/>
    <x v="1"/>
    <s v="Consumer"/>
    <x v="3"/>
    <s v="UPI"/>
    <s v="Delivered"/>
    <n v="4"/>
    <n v="18285"/>
    <n v="58512"/>
    <n v="17137.73"/>
    <n v="0.29289256904566585"/>
  </r>
  <r>
    <s v="ORD0197"/>
    <d v="2024-07-09T00:00:00"/>
    <s v="CUST0197"/>
    <s v="Pooja"/>
    <s v="Male"/>
    <n v="47"/>
    <s v="Delhi"/>
    <x v="0"/>
    <s v="Home Office"/>
    <x v="1"/>
    <s v="UPI"/>
    <s v="Pending"/>
    <n v="1"/>
    <n v="913"/>
    <n v="913"/>
    <n v="353.15"/>
    <n v="0.38680175246440301"/>
  </r>
  <r>
    <s v="ORD0198"/>
    <d v="2024-02-21T00:00:00"/>
    <s v="CUST0198"/>
    <s v="Amit"/>
    <s v="Male"/>
    <n v="50"/>
    <s v="Delhi"/>
    <x v="0"/>
    <s v="Consumer"/>
    <x v="3"/>
    <s v="Cash on Delivery"/>
    <s v="Pending"/>
    <n v="1"/>
    <n v="35583"/>
    <n v="32024.7"/>
    <n v="9478.25"/>
    <n v="0.29596686307756198"/>
  </r>
  <r>
    <s v="ORD0199"/>
    <d v="2024-11-08T00:00:00"/>
    <s v="CUST0199"/>
    <s v="Pooja"/>
    <s v="Female"/>
    <n v="44"/>
    <s v="Hyderabad"/>
    <x v="0"/>
    <s v="Home Office"/>
    <x v="4"/>
    <s v="Credit Card"/>
    <s v="Pending"/>
    <n v="1"/>
    <n v="34890"/>
    <n v="31401"/>
    <n v="7787.83"/>
    <n v="0.24801216521766822"/>
  </r>
  <r>
    <s v="ORD0200"/>
    <d v="2024-06-11T00:00:00"/>
    <s v="CUST0200"/>
    <s v="Pooja"/>
    <s v="Male"/>
    <n v="24"/>
    <s v="Chennai"/>
    <x v="2"/>
    <s v="Home Office"/>
    <x v="4"/>
    <s v="UPI"/>
    <s v="Pending"/>
    <n v="2"/>
    <n v="30182"/>
    <n v="57345.8"/>
    <n v="11949.78"/>
    <n v="0.2083810845781208"/>
  </r>
  <r>
    <s v="ORD0201"/>
    <d v="2024-07-31T00:00:00"/>
    <s v="CUST0201"/>
    <s v="Neha"/>
    <s v="Male"/>
    <n v="59"/>
    <s v="Pune"/>
    <x v="0"/>
    <s v="Home Office"/>
    <x v="3"/>
    <s v="UPI"/>
    <s v="Returned"/>
    <n v="3"/>
    <n v="45616"/>
    <n v="116320.8"/>
    <n v="35821.589999999997"/>
    <n v="0.30795515505395421"/>
  </r>
  <r>
    <s v="ORD0202"/>
    <d v="2024-04-16T00:00:00"/>
    <s v="CUST0202"/>
    <s v="Aarav"/>
    <s v="Male"/>
    <n v="33"/>
    <s v="Hyderabad"/>
    <x v="0"/>
    <s v="Home Office"/>
    <x v="3"/>
    <s v="Credit Card"/>
    <s v="Pending"/>
    <n v="5"/>
    <n v="22863"/>
    <n v="108599.25"/>
    <n v="23278.9"/>
    <n v="0.21435599232959712"/>
  </r>
  <r>
    <s v="ORD0203"/>
    <d v="2024-01-23T00:00:00"/>
    <s v="CUST0203"/>
    <s v="Pooja"/>
    <s v="Male"/>
    <n v="54"/>
    <s v="Delhi"/>
    <x v="0"/>
    <s v="Home Office"/>
    <x v="3"/>
    <s v="Debit Card"/>
    <s v="Cancelled"/>
    <n v="1"/>
    <n v="21206"/>
    <n v="18025.099999999999"/>
    <n v="2943.6"/>
    <n v="0.16330561272891692"/>
  </r>
  <r>
    <s v="ORD0204"/>
    <d v="2024-04-17T00:00:00"/>
    <s v="CUST0204"/>
    <s v="Neha"/>
    <s v="Male"/>
    <n v="52"/>
    <s v="Mumbai"/>
    <x v="0"/>
    <s v="Consumer"/>
    <x v="4"/>
    <s v="Credit Card"/>
    <s v="Returned"/>
    <n v="4"/>
    <n v="19585"/>
    <n v="78340"/>
    <n v="25921.71"/>
    <n v="0.33088728618840951"/>
  </r>
  <r>
    <s v="ORD0205"/>
    <d v="2024-10-24T00:00:00"/>
    <s v="CUST0205"/>
    <s v="Rohan"/>
    <s v="Female"/>
    <n v="48"/>
    <s v="Delhi"/>
    <x v="2"/>
    <s v="Consumer"/>
    <x v="2"/>
    <s v="Net Banking"/>
    <s v="Pending"/>
    <n v="5"/>
    <n v="29361"/>
    <n v="146805"/>
    <n v="54770.559999999998"/>
    <n v="0.37308375055345527"/>
  </r>
  <r>
    <s v="ORD0206"/>
    <d v="2024-02-03T00:00:00"/>
    <s v="CUST0206"/>
    <s v="Priya"/>
    <s v="Male"/>
    <n v="22"/>
    <s v="Pune"/>
    <x v="2"/>
    <s v="Home Office"/>
    <x v="2"/>
    <s v="UPI"/>
    <s v="Delivered"/>
    <n v="3"/>
    <n v="26452"/>
    <n v="63484.800000000003"/>
    <n v="10257.709999999999"/>
    <n v="0.1615774169564998"/>
  </r>
  <r>
    <s v="ORD0207"/>
    <d v="2024-03-30T00:00:00"/>
    <s v="CUST0207"/>
    <s v="Vikram"/>
    <s v="Male"/>
    <n v="46"/>
    <s v="Hyderabad"/>
    <x v="0"/>
    <s v="Consumer"/>
    <x v="3"/>
    <s v="Cash on Delivery"/>
    <s v="Pending"/>
    <n v="1"/>
    <n v="24695"/>
    <n v="20990.75"/>
    <n v="7040.53"/>
    <n v="0.33541107392541952"/>
  </r>
  <r>
    <s v="ORD0208"/>
    <d v="2024-01-27T00:00:00"/>
    <s v="CUST0208"/>
    <s v="Vikram"/>
    <s v="Male"/>
    <n v="34"/>
    <s v="Pune"/>
    <x v="0"/>
    <s v="Corporate"/>
    <x v="4"/>
    <s v="Credit Card"/>
    <s v="Cancelled"/>
    <n v="3"/>
    <n v="33550"/>
    <n v="90585"/>
    <n v="15820.98"/>
    <n v="0.17465341944030469"/>
  </r>
  <r>
    <s v="ORD0209"/>
    <d v="2024-03-28T00:00:00"/>
    <s v="CUST0209"/>
    <s v="Sneha"/>
    <s v="Female"/>
    <n v="57"/>
    <s v="Mumbai"/>
    <x v="0"/>
    <s v="Home Office"/>
    <x v="1"/>
    <s v="UPI"/>
    <s v="Cancelled"/>
    <n v="1"/>
    <n v="45397"/>
    <n v="40857.300000000003"/>
    <n v="9153.83"/>
    <n v="0.22404392850237287"/>
  </r>
  <r>
    <s v="ORD0210"/>
    <d v="2024-01-02T00:00:00"/>
    <s v="CUST0210"/>
    <s v="Priya"/>
    <s v="Male"/>
    <n v="52"/>
    <s v="Chennai"/>
    <x v="2"/>
    <s v="Consumer"/>
    <x v="3"/>
    <s v="Credit Card"/>
    <s v="Cancelled"/>
    <n v="4"/>
    <n v="17033"/>
    <n v="64725.4"/>
    <n v="12196.65"/>
    <n v="0.18843684241426084"/>
  </r>
  <r>
    <s v="ORD0211"/>
    <d v="2024-10-19T00:00:00"/>
    <s v="CUST0211"/>
    <s v="Priya"/>
    <s v="Female"/>
    <n v="60"/>
    <s v="Bangalore"/>
    <x v="0"/>
    <s v="Home Office"/>
    <x v="2"/>
    <s v="Credit Card"/>
    <s v="Returned"/>
    <n v="2"/>
    <n v="30390"/>
    <n v="51663"/>
    <n v="20102.57"/>
    <n v="0.38910961423068735"/>
  </r>
  <r>
    <s v="ORD0212"/>
    <d v="2024-07-30T00:00:00"/>
    <s v="CUST0212"/>
    <s v="Sneha"/>
    <s v="Male"/>
    <n v="41"/>
    <s v="Pune"/>
    <x v="1"/>
    <s v="Home Office"/>
    <x v="4"/>
    <s v="Cash on Delivery"/>
    <s v="Returned"/>
    <n v="4"/>
    <n v="40792"/>
    <n v="155009.60000000001"/>
    <n v="55928.52"/>
    <n v="0.3608068145456797"/>
  </r>
  <r>
    <s v="ORD0213"/>
    <d v="2024-04-17T00:00:00"/>
    <s v="CUST0213"/>
    <s v="Neha"/>
    <s v="Male"/>
    <n v="29"/>
    <s v="Chennai"/>
    <x v="1"/>
    <s v="Corporate"/>
    <x v="0"/>
    <s v="Credit Card"/>
    <s v="Delivered"/>
    <n v="2"/>
    <n v="35588"/>
    <n v="60499.6"/>
    <n v="16903.89"/>
    <n v="0.27940498780157225"/>
  </r>
  <r>
    <s v="ORD0214"/>
    <d v="2024-04-09T00:00:00"/>
    <s v="CUST0214"/>
    <s v="Rahul"/>
    <s v="Male"/>
    <n v="30"/>
    <s v="Delhi"/>
    <x v="0"/>
    <s v="Corporate"/>
    <x v="3"/>
    <s v="Credit Card"/>
    <s v="Pending"/>
    <n v="1"/>
    <n v="25990"/>
    <n v="23391"/>
    <n v="5225.66"/>
    <n v="0.22340472831430891"/>
  </r>
  <r>
    <s v="ORD0215"/>
    <d v="2024-09-16T00:00:00"/>
    <s v="CUST0215"/>
    <s v="Neha"/>
    <s v="Female"/>
    <n v="32"/>
    <s v="Mumbai"/>
    <x v="0"/>
    <s v="Home Office"/>
    <x v="2"/>
    <s v="Net Banking"/>
    <s v="Cancelled"/>
    <n v="3"/>
    <n v="6500"/>
    <n v="16575"/>
    <n v="4785.3900000000003"/>
    <n v="0.28871131221719459"/>
  </r>
  <r>
    <s v="ORD0216"/>
    <d v="2024-08-14T00:00:00"/>
    <s v="CUST0216"/>
    <s v="Priya"/>
    <s v="Male"/>
    <n v="28"/>
    <s v="Delhi"/>
    <x v="2"/>
    <s v="Corporate"/>
    <x v="2"/>
    <s v="UPI"/>
    <s v="Delivered"/>
    <n v="3"/>
    <n v="16360"/>
    <n v="39264"/>
    <n v="8551.44"/>
    <n v="0.21779339853300736"/>
  </r>
  <r>
    <s v="ORD0217"/>
    <d v="2024-12-30T00:00:00"/>
    <s v="CUST0217"/>
    <s v="Pooja"/>
    <s v="Female"/>
    <n v="53"/>
    <s v="Hyderabad"/>
    <x v="1"/>
    <s v="Home Office"/>
    <x v="2"/>
    <s v="UPI"/>
    <s v="Pending"/>
    <n v="2"/>
    <n v="20490"/>
    <n v="36882"/>
    <n v="6719.47"/>
    <n v="0.18218833035084867"/>
  </r>
  <r>
    <s v="ORD0218"/>
    <d v="2024-07-10T00:00:00"/>
    <s v="CUST0218"/>
    <s v="Ananya"/>
    <s v="Male"/>
    <n v="28"/>
    <s v="Delhi"/>
    <x v="1"/>
    <s v="Home Office"/>
    <x v="3"/>
    <s v="Debit Card"/>
    <s v="Delivered"/>
    <n v="3"/>
    <n v="37710"/>
    <n v="113130"/>
    <n v="35140.86"/>
    <n v="0.31062370723945903"/>
  </r>
  <r>
    <s v="ORD0219"/>
    <d v="2024-02-11T00:00:00"/>
    <s v="CUST0219"/>
    <s v="Rahul"/>
    <s v="Female"/>
    <n v="25"/>
    <s v="Hyderabad"/>
    <x v="1"/>
    <s v="Consumer"/>
    <x v="3"/>
    <s v="Cash on Delivery"/>
    <s v="Cancelled"/>
    <n v="5"/>
    <n v="38569"/>
    <n v="154276"/>
    <n v="55511.9"/>
    <n v="0.35982200731157149"/>
  </r>
  <r>
    <s v="ORD0220"/>
    <d v="2024-03-08T00:00:00"/>
    <s v="CUST0220"/>
    <s v="Aarav"/>
    <s v="Female"/>
    <n v="51"/>
    <s v="Mumbai"/>
    <x v="0"/>
    <s v="Home Office"/>
    <x v="3"/>
    <s v="Credit Card"/>
    <s v="Pending"/>
    <n v="3"/>
    <n v="9981"/>
    <n v="28445.85"/>
    <n v="8907.67"/>
    <n v="0.31314479968079706"/>
  </r>
  <r>
    <s v="ORD0221"/>
    <d v="2024-11-08T00:00:00"/>
    <s v="CUST0221"/>
    <s v="Priya"/>
    <s v="Male"/>
    <n v="59"/>
    <s v="Pune"/>
    <x v="2"/>
    <s v="Home Office"/>
    <x v="1"/>
    <s v="Credit Card"/>
    <s v="Delivered"/>
    <n v="4"/>
    <n v="541"/>
    <n v="1947.6"/>
    <n v="434.18"/>
    <n v="0.22293078660915999"/>
  </r>
  <r>
    <s v="ORD0222"/>
    <d v="2024-02-15T00:00:00"/>
    <s v="CUST0222"/>
    <s v="Rohan"/>
    <s v="Female"/>
    <n v="24"/>
    <s v="Hyderabad"/>
    <x v="2"/>
    <s v="Consumer"/>
    <x v="2"/>
    <s v="UPI"/>
    <s v="Cancelled"/>
    <n v="3"/>
    <n v="25531"/>
    <n v="76593"/>
    <n v="15518.81"/>
    <n v="0.20261394644419203"/>
  </r>
  <r>
    <s v="ORD0223"/>
    <d v="2024-12-04T00:00:00"/>
    <s v="CUST0223"/>
    <s v="Vikram"/>
    <s v="Male"/>
    <n v="20"/>
    <s v="Mumbai"/>
    <x v="1"/>
    <s v="Corporate"/>
    <x v="1"/>
    <s v="Credit Card"/>
    <s v="Returned"/>
    <n v="4"/>
    <n v="39544"/>
    <n v="142358.39999999999"/>
    <n v="36006.959999999999"/>
    <n v="0.25293175534425788"/>
  </r>
  <r>
    <s v="ORD0224"/>
    <d v="2024-03-08T00:00:00"/>
    <s v="CUST0224"/>
    <s v="Pooja"/>
    <s v="Female"/>
    <n v="55"/>
    <s v="Bangalore"/>
    <x v="2"/>
    <s v="Corporate"/>
    <x v="4"/>
    <s v="UPI"/>
    <s v="Pending"/>
    <n v="1"/>
    <n v="22215"/>
    <n v="21104.25"/>
    <n v="6901.45"/>
    <n v="0.32701707002144115"/>
  </r>
  <r>
    <s v="ORD0225"/>
    <d v="2024-08-05T00:00:00"/>
    <s v="CUST0225"/>
    <s v="Neha"/>
    <s v="Male"/>
    <n v="45"/>
    <s v="Pune"/>
    <x v="0"/>
    <s v="Corporate"/>
    <x v="3"/>
    <s v="Cash on Delivery"/>
    <s v="Pending"/>
    <n v="2"/>
    <n v="22006"/>
    <n v="41811.4"/>
    <n v="9512.5"/>
    <n v="0.22750972222886581"/>
  </r>
  <r>
    <s v="ORD0226"/>
    <d v="2024-11-19T00:00:00"/>
    <s v="CUST0226"/>
    <s v="Ananya"/>
    <s v="Male"/>
    <n v="52"/>
    <s v="Mumbai"/>
    <x v="1"/>
    <s v="Corporate"/>
    <x v="4"/>
    <s v="Credit Card"/>
    <s v="Cancelled"/>
    <n v="3"/>
    <n v="2121"/>
    <n v="5090.3999999999996"/>
    <n v="1849.12"/>
    <n v="0.36325632563256327"/>
  </r>
  <r>
    <s v="ORD0227"/>
    <d v="2024-12-14T00:00:00"/>
    <s v="CUST0227"/>
    <s v="Sneha"/>
    <s v="Male"/>
    <n v="18"/>
    <s v="Pune"/>
    <x v="1"/>
    <s v="Home Office"/>
    <x v="3"/>
    <s v="Debit Card"/>
    <s v="Cancelled"/>
    <n v="1"/>
    <n v="1429"/>
    <n v="1429"/>
    <n v="542.17999999999995"/>
    <n v="0.37941217634709584"/>
  </r>
  <r>
    <s v="ORD0228"/>
    <d v="2024-04-08T00:00:00"/>
    <s v="CUST0228"/>
    <s v="Amit"/>
    <s v="Female"/>
    <n v="31"/>
    <s v="Pune"/>
    <x v="0"/>
    <s v="Home Office"/>
    <x v="1"/>
    <s v="Debit Card"/>
    <s v="Delivered"/>
    <n v="3"/>
    <n v="7507"/>
    <n v="19142.849999999999"/>
    <n v="7615.94"/>
    <n v="0.39784776039095537"/>
  </r>
  <r>
    <s v="ORD0229"/>
    <d v="2024-06-08T00:00:00"/>
    <s v="CUST0229"/>
    <s v="Aarav"/>
    <s v="Male"/>
    <n v="57"/>
    <s v="Chennai"/>
    <x v="2"/>
    <s v="Home Office"/>
    <x v="2"/>
    <s v="Debit Card"/>
    <s v="Pending"/>
    <n v="5"/>
    <n v="33866"/>
    <n v="143930.5"/>
    <n v="24555.93"/>
    <n v="0.17060963451110084"/>
  </r>
  <r>
    <s v="ORD0230"/>
    <d v="2024-06-18T00:00:00"/>
    <s v="CUST0230"/>
    <s v="Vikram"/>
    <s v="Female"/>
    <n v="55"/>
    <s v="Delhi"/>
    <x v="1"/>
    <s v="Consumer"/>
    <x v="4"/>
    <s v="Credit Card"/>
    <s v="Delivered"/>
    <n v="4"/>
    <n v="25930"/>
    <n v="93348"/>
    <n v="22453.21"/>
    <n v="0.24053230920855292"/>
  </r>
  <r>
    <s v="ORD0231"/>
    <d v="2024-01-16T00:00:00"/>
    <s v="CUST0231"/>
    <s v="Neha"/>
    <s v="Female"/>
    <n v="55"/>
    <s v="Mumbai"/>
    <x v="0"/>
    <s v="Corporate"/>
    <x v="1"/>
    <s v="Credit Card"/>
    <s v="Delivered"/>
    <n v="3"/>
    <n v="16249"/>
    <n v="48747"/>
    <n v="8175.25"/>
    <n v="0.16770775637475127"/>
  </r>
  <r>
    <s v="ORD0232"/>
    <d v="2024-12-25T00:00:00"/>
    <s v="CUST0232"/>
    <s v="Sneha"/>
    <s v="Female"/>
    <n v="42"/>
    <s v="Delhi"/>
    <x v="0"/>
    <s v="Corporate"/>
    <x v="4"/>
    <s v="Net Banking"/>
    <s v="Cancelled"/>
    <n v="1"/>
    <n v="44459"/>
    <n v="40013.1"/>
    <n v="13491.59"/>
    <n v="0.33717932377146487"/>
  </r>
  <r>
    <s v="ORD0233"/>
    <d v="2024-04-05T00:00:00"/>
    <s v="CUST0233"/>
    <s v="Sneha"/>
    <s v="Male"/>
    <n v="50"/>
    <s v="Mumbai"/>
    <x v="0"/>
    <s v="Consumer"/>
    <x v="0"/>
    <s v="Cash on Delivery"/>
    <s v="Returned"/>
    <n v="4"/>
    <n v="23873"/>
    <n v="76393.600000000006"/>
    <n v="20161.509999999998"/>
    <n v="0.26391621811251198"/>
  </r>
  <r>
    <s v="ORD0234"/>
    <d v="2024-07-04T00:00:00"/>
    <s v="CUST0234"/>
    <s v="Rahul"/>
    <s v="Male"/>
    <n v="47"/>
    <s v="Bangalore"/>
    <x v="0"/>
    <s v="Corporate"/>
    <x v="4"/>
    <s v="Net Banking"/>
    <s v="Pending"/>
    <n v="4"/>
    <n v="10767"/>
    <n v="34454.400000000001"/>
    <n v="11824.64"/>
    <n v="0.34319680505247513"/>
  </r>
  <r>
    <s v="ORD0235"/>
    <d v="2024-05-28T00:00:00"/>
    <s v="CUST0235"/>
    <s v="Rahul"/>
    <s v="Male"/>
    <n v="35"/>
    <s v="Mumbai"/>
    <x v="2"/>
    <s v="Home Office"/>
    <x v="3"/>
    <s v="UPI"/>
    <s v="Pending"/>
    <n v="2"/>
    <n v="17432"/>
    <n v="34864"/>
    <n v="10484.790000000001"/>
    <n v="0.3007339949518128"/>
  </r>
  <r>
    <s v="ORD0236"/>
    <d v="2024-02-20T00:00:00"/>
    <s v="CUST0236"/>
    <s v="Aarav"/>
    <s v="Female"/>
    <n v="48"/>
    <s v="Hyderabad"/>
    <x v="0"/>
    <s v="Corporate"/>
    <x v="3"/>
    <s v="UPI"/>
    <s v="Returned"/>
    <n v="2"/>
    <n v="13525"/>
    <n v="24345"/>
    <n v="3800.74"/>
    <n v="0.15611994249332511"/>
  </r>
  <r>
    <s v="ORD0237"/>
    <d v="2024-03-30T00:00:00"/>
    <s v="CUST0237"/>
    <s v="Priya"/>
    <s v="Male"/>
    <n v="19"/>
    <s v="Mumbai"/>
    <x v="0"/>
    <s v="Consumer"/>
    <x v="4"/>
    <s v="Debit Card"/>
    <s v="Delivered"/>
    <n v="3"/>
    <n v="45832"/>
    <n v="109996.8"/>
    <n v="36485.980000000003"/>
    <n v="0.33170037673823238"/>
  </r>
  <r>
    <s v="ORD0238"/>
    <d v="2024-03-04T00:00:00"/>
    <s v="CUST0238"/>
    <s v="Rohan"/>
    <s v="Male"/>
    <n v="41"/>
    <s v="Pune"/>
    <x v="1"/>
    <s v="Corporate"/>
    <x v="4"/>
    <s v="UPI"/>
    <s v="Delivered"/>
    <n v="4"/>
    <n v="48662"/>
    <n v="175183.2"/>
    <n v="61045.3"/>
    <n v="0.34846549212481559"/>
  </r>
  <r>
    <s v="ORD0239"/>
    <d v="2024-05-30T00:00:00"/>
    <s v="CUST0239"/>
    <s v="Priya"/>
    <s v="Female"/>
    <n v="32"/>
    <s v="Bangalore"/>
    <x v="2"/>
    <s v="Consumer"/>
    <x v="4"/>
    <s v="Credit Card"/>
    <s v="Pending"/>
    <n v="3"/>
    <n v="8306"/>
    <n v="19934.400000000001"/>
    <n v="3565.42"/>
    <n v="0.17885765310217513"/>
  </r>
  <r>
    <s v="ORD0240"/>
    <d v="2024-03-18T00:00:00"/>
    <s v="CUST0240"/>
    <s v="Aarav"/>
    <s v="Female"/>
    <n v="23"/>
    <s v="Delhi"/>
    <x v="0"/>
    <s v="Home Office"/>
    <x v="4"/>
    <s v="Cash on Delivery"/>
    <s v="Delivered"/>
    <n v="3"/>
    <n v="10438"/>
    <n v="31314"/>
    <n v="5023.3"/>
    <n v="0.16041706584914098"/>
  </r>
  <r>
    <s v="ORD0241"/>
    <d v="2024-04-08T00:00:00"/>
    <s v="CUST0241"/>
    <s v="Rohan"/>
    <s v="Female"/>
    <n v="48"/>
    <s v="Delhi"/>
    <x v="0"/>
    <s v="Home Office"/>
    <x v="0"/>
    <s v="Cash on Delivery"/>
    <s v="Pending"/>
    <n v="5"/>
    <n v="38003"/>
    <n v="180514.25"/>
    <n v="61042.71"/>
    <n v="0.33816006215575778"/>
  </r>
  <r>
    <s v="ORD0242"/>
    <d v="2024-01-11T00:00:00"/>
    <s v="CUST0242"/>
    <s v="Aarav"/>
    <s v="Female"/>
    <n v="56"/>
    <s v="Delhi"/>
    <x v="2"/>
    <s v="Corporate"/>
    <x v="0"/>
    <s v="UPI"/>
    <s v="Returned"/>
    <n v="2"/>
    <n v="3531"/>
    <n v="6708.9"/>
    <n v="2104.41"/>
    <n v="0.31367437284800787"/>
  </r>
  <r>
    <s v="ORD0243"/>
    <d v="2024-07-16T00:00:00"/>
    <s v="CUST0243"/>
    <s v="Amit"/>
    <s v="Female"/>
    <n v="33"/>
    <s v="Mumbai"/>
    <x v="0"/>
    <s v="Home Office"/>
    <x v="2"/>
    <s v="Net Banking"/>
    <s v="Pending"/>
    <n v="1"/>
    <n v="31153"/>
    <n v="28037.7"/>
    <n v="5163.8"/>
    <n v="0.18417345217332379"/>
  </r>
  <r>
    <s v="ORD0244"/>
    <d v="2024-10-15T00:00:00"/>
    <s v="CUST0244"/>
    <s v="Sneha"/>
    <s v="Female"/>
    <n v="25"/>
    <s v="Pune"/>
    <x v="0"/>
    <s v="Consumer"/>
    <x v="0"/>
    <s v="Cash on Delivery"/>
    <s v="Pending"/>
    <n v="3"/>
    <n v="14406"/>
    <n v="34574.400000000001"/>
    <n v="6351.96"/>
    <n v="0.18371858947660696"/>
  </r>
  <r>
    <s v="ORD0245"/>
    <d v="2024-03-24T00:00:00"/>
    <s v="CUST0245"/>
    <s v="Aarav"/>
    <s v="Female"/>
    <n v="55"/>
    <s v="Mumbai"/>
    <x v="0"/>
    <s v="Corporate"/>
    <x v="3"/>
    <s v="UPI"/>
    <s v="Delivered"/>
    <n v="3"/>
    <n v="47473"/>
    <n v="142419"/>
    <n v="35088.25"/>
    <n v="0.24637337714771204"/>
  </r>
  <r>
    <s v="ORD0246"/>
    <d v="2024-03-29T00:00:00"/>
    <s v="CUST0246"/>
    <s v="Priya"/>
    <s v="Male"/>
    <n v="33"/>
    <s v="Chennai"/>
    <x v="2"/>
    <s v="Consumer"/>
    <x v="4"/>
    <s v="Credit Card"/>
    <s v="Returned"/>
    <n v="5"/>
    <n v="37805"/>
    <n v="160671.25"/>
    <n v="37749.25"/>
    <n v="0.23494713584415383"/>
  </r>
  <r>
    <s v="ORD0247"/>
    <d v="2024-08-27T00:00:00"/>
    <s v="CUST0247"/>
    <s v="Sneha"/>
    <s v="Male"/>
    <n v="28"/>
    <s v="Hyderabad"/>
    <x v="0"/>
    <s v="Consumer"/>
    <x v="0"/>
    <s v="Debit Card"/>
    <s v="Pending"/>
    <n v="5"/>
    <n v="9191"/>
    <n v="45955"/>
    <n v="15452.33"/>
    <n v="0.33624915678381023"/>
  </r>
  <r>
    <s v="ORD0248"/>
    <d v="2024-11-24T00:00:00"/>
    <s v="CUST0248"/>
    <s v="Aarav"/>
    <s v="Female"/>
    <n v="21"/>
    <s v="Delhi"/>
    <x v="2"/>
    <s v="Home Office"/>
    <x v="4"/>
    <s v="Net Banking"/>
    <s v="Cancelled"/>
    <n v="5"/>
    <n v="7523"/>
    <n v="33853.5"/>
    <n v="8538.81"/>
    <n v="0.25222827772608442"/>
  </r>
  <r>
    <s v="ORD0249"/>
    <d v="2024-07-18T00:00:00"/>
    <s v="CUST0249"/>
    <s v="Rohan"/>
    <s v="Male"/>
    <n v="22"/>
    <s v="Hyderabad"/>
    <x v="1"/>
    <s v="Consumer"/>
    <x v="3"/>
    <s v="UPI"/>
    <s v="Cancelled"/>
    <n v="1"/>
    <n v="13874"/>
    <n v="12486.6"/>
    <n v="3767.07"/>
    <n v="0.30168901061938397"/>
  </r>
  <r>
    <s v="ORD0250"/>
    <d v="2024-12-31T00:00:00"/>
    <s v="CUST0250"/>
    <s v="Rahul"/>
    <s v="Female"/>
    <n v="37"/>
    <s v="Delhi"/>
    <x v="0"/>
    <s v="Corporate"/>
    <x v="0"/>
    <s v="Cash on Delivery"/>
    <s v="Pending"/>
    <n v="2"/>
    <n v="18106"/>
    <n v="34401.4"/>
    <n v="11845.75"/>
    <n v="0.34433918387042384"/>
  </r>
  <r>
    <s v="ORD0251"/>
    <d v="2024-12-22T00:00:00"/>
    <s v="CUST0251"/>
    <s v="Neha"/>
    <s v="Female"/>
    <n v="41"/>
    <s v="Chennai"/>
    <x v="2"/>
    <s v="Home Office"/>
    <x v="1"/>
    <s v="Credit Card"/>
    <s v="Delivered"/>
    <n v="3"/>
    <n v="34417"/>
    <n v="98088.45"/>
    <n v="36627.19"/>
    <n v="0.37340981532484208"/>
  </r>
  <r>
    <s v="ORD0252"/>
    <d v="2024-04-22T00:00:00"/>
    <s v="CUST0252"/>
    <s v="Rohan"/>
    <s v="Female"/>
    <n v="18"/>
    <s v="Delhi"/>
    <x v="0"/>
    <s v="Corporate"/>
    <x v="3"/>
    <s v="Credit Card"/>
    <s v="Delivered"/>
    <n v="1"/>
    <n v="41497"/>
    <n v="35272.449999999997"/>
    <n v="12135.43"/>
    <n v="0.34404840038046697"/>
  </r>
  <r>
    <s v="ORD0253"/>
    <d v="2024-12-15T00:00:00"/>
    <s v="CUST0253"/>
    <s v="Rahul"/>
    <s v="Male"/>
    <n v="26"/>
    <s v="Delhi"/>
    <x v="0"/>
    <s v="Corporate"/>
    <x v="0"/>
    <s v="Net Banking"/>
    <s v="Returned"/>
    <n v="5"/>
    <n v="27348"/>
    <n v="109392"/>
    <n v="36452.94"/>
    <n v="0.33323222904782801"/>
  </r>
  <r>
    <s v="ORD0254"/>
    <d v="2024-03-09T00:00:00"/>
    <s v="CUST0254"/>
    <s v="Neha"/>
    <s v="Male"/>
    <n v="56"/>
    <s v="Bangalore"/>
    <x v="0"/>
    <s v="Consumer"/>
    <x v="1"/>
    <s v="UPI"/>
    <s v="Cancelled"/>
    <n v="4"/>
    <n v="5326"/>
    <n v="18108.400000000001"/>
    <n v="6325.29"/>
    <n v="0.34930142917099244"/>
  </r>
  <r>
    <s v="ORD0255"/>
    <d v="2024-06-29T00:00:00"/>
    <s v="CUST0255"/>
    <s v="Ananya"/>
    <s v="Male"/>
    <n v="60"/>
    <s v="Mumbai"/>
    <x v="0"/>
    <s v="Corporate"/>
    <x v="0"/>
    <s v="UPI"/>
    <s v="Pending"/>
    <n v="1"/>
    <n v="2170"/>
    <n v="1844.5"/>
    <n v="578.52"/>
    <n v="0.3136459745188398"/>
  </r>
  <r>
    <s v="ORD0256"/>
    <d v="2024-03-21T00:00:00"/>
    <s v="CUST0256"/>
    <s v="Sneha"/>
    <s v="Male"/>
    <n v="56"/>
    <s v="Chennai"/>
    <x v="1"/>
    <s v="Consumer"/>
    <x v="3"/>
    <s v="UPI"/>
    <s v="Delivered"/>
    <n v="5"/>
    <n v="47874"/>
    <n v="191496"/>
    <n v="33167.300000000003"/>
    <n v="0.17320100680954173"/>
  </r>
  <r>
    <s v="ORD0257"/>
    <d v="2024-04-16T00:00:00"/>
    <s v="CUST0257"/>
    <s v="Priya"/>
    <s v="Male"/>
    <n v="51"/>
    <s v="Bangalore"/>
    <x v="0"/>
    <s v="Home Office"/>
    <x v="2"/>
    <s v="Net Banking"/>
    <s v="Delivered"/>
    <n v="3"/>
    <n v="43466"/>
    <n v="123878.1"/>
    <n v="28288.17"/>
    <n v="0.2283548908160522"/>
  </r>
  <r>
    <s v="ORD0258"/>
    <d v="2024-02-29T00:00:00"/>
    <s v="CUST0258"/>
    <s v="Neha"/>
    <s v="Female"/>
    <n v="46"/>
    <s v="Chennai"/>
    <x v="0"/>
    <s v="Consumer"/>
    <x v="3"/>
    <s v="Credit Card"/>
    <s v="Cancelled"/>
    <n v="3"/>
    <n v="16527"/>
    <n v="47101.95"/>
    <n v="14185.01"/>
    <n v="0.30115547233182494"/>
  </r>
  <r>
    <s v="ORD0259"/>
    <d v="2024-10-10T00:00:00"/>
    <s v="CUST0259"/>
    <s v="Priya"/>
    <s v="Female"/>
    <n v="39"/>
    <s v="Hyderabad"/>
    <x v="0"/>
    <s v="Corporate"/>
    <x v="1"/>
    <s v="Net Banking"/>
    <s v="Cancelled"/>
    <n v="2"/>
    <n v="44425"/>
    <n v="75522.5"/>
    <n v="26729.17"/>
    <n v="0.3539232679002946"/>
  </r>
  <r>
    <s v="ORD0260"/>
    <d v="2024-12-19T00:00:00"/>
    <s v="CUST0260"/>
    <s v="Rohan"/>
    <s v="Female"/>
    <n v="33"/>
    <s v="Mumbai"/>
    <x v="2"/>
    <s v="Consumer"/>
    <x v="4"/>
    <s v="Net Banking"/>
    <s v="Pending"/>
    <n v="2"/>
    <n v="44961"/>
    <n v="80929.8"/>
    <n v="27710.5"/>
    <n v="0.34240168639981811"/>
  </r>
  <r>
    <s v="ORD0261"/>
    <d v="2024-08-21T00:00:00"/>
    <s v="CUST0261"/>
    <s v="Amit"/>
    <s v="Male"/>
    <n v="47"/>
    <s v="Mumbai"/>
    <x v="2"/>
    <s v="Corporate"/>
    <x v="3"/>
    <s v="Credit Card"/>
    <s v="Delivered"/>
    <n v="1"/>
    <n v="19047"/>
    <n v="19047"/>
    <n v="5524.91"/>
    <n v="0.29006720218407095"/>
  </r>
  <r>
    <s v="ORD0262"/>
    <d v="2024-10-08T00:00:00"/>
    <s v="CUST0262"/>
    <s v="Aarav"/>
    <s v="Male"/>
    <n v="35"/>
    <s v="Bangalore"/>
    <x v="0"/>
    <s v="Home Office"/>
    <x v="2"/>
    <s v="UPI"/>
    <s v="Pending"/>
    <n v="3"/>
    <n v="4771"/>
    <n v="14313"/>
    <n v="4284.08"/>
    <n v="0.29931391043107664"/>
  </r>
  <r>
    <s v="ORD0263"/>
    <d v="2024-11-03T00:00:00"/>
    <s v="CUST0263"/>
    <s v="Priya"/>
    <s v="Female"/>
    <n v="53"/>
    <s v="Hyderabad"/>
    <x v="0"/>
    <s v="Corporate"/>
    <x v="2"/>
    <s v="Cash on Delivery"/>
    <s v="Cancelled"/>
    <n v="1"/>
    <n v="12197"/>
    <n v="9757.6"/>
    <n v="2540.3000000000002"/>
    <n v="0.26034065753873903"/>
  </r>
  <r>
    <s v="ORD0264"/>
    <d v="2024-06-01T00:00:00"/>
    <s v="CUST0264"/>
    <s v="Rohan"/>
    <s v="Female"/>
    <n v="47"/>
    <s v="Chennai"/>
    <x v="0"/>
    <s v="Corporate"/>
    <x v="1"/>
    <s v="Net Banking"/>
    <s v="Returned"/>
    <n v="5"/>
    <n v="22068"/>
    <n v="88272"/>
    <n v="18632.990000000002"/>
    <n v="0.21108607485952513"/>
  </r>
  <r>
    <s v="ORD0265"/>
    <d v="2024-02-05T00:00:00"/>
    <s v="CUST0265"/>
    <s v="Vikram"/>
    <s v="Male"/>
    <n v="29"/>
    <s v="Mumbai"/>
    <x v="0"/>
    <s v="Consumer"/>
    <x v="4"/>
    <s v="Debit Card"/>
    <s v="Pending"/>
    <n v="5"/>
    <n v="34311"/>
    <n v="162977.25"/>
    <n v="63821.43"/>
    <n v="0.39159717077076711"/>
  </r>
  <r>
    <s v="ORD0266"/>
    <d v="2024-05-16T00:00:00"/>
    <s v="CUST0266"/>
    <s v="Rohan"/>
    <s v="Female"/>
    <n v="26"/>
    <s v="Bangalore"/>
    <x v="0"/>
    <s v="Consumer"/>
    <x v="2"/>
    <s v="Net Banking"/>
    <s v="Returned"/>
    <n v="2"/>
    <n v="28344"/>
    <n v="48184.800000000003"/>
    <n v="16993.5"/>
    <n v="0.35267345718981918"/>
  </r>
  <r>
    <s v="ORD0267"/>
    <d v="2024-04-02T00:00:00"/>
    <s v="CUST0267"/>
    <s v="Rahul"/>
    <s v="Female"/>
    <n v="38"/>
    <s v="Pune"/>
    <x v="0"/>
    <s v="Home Office"/>
    <x v="3"/>
    <s v="UPI"/>
    <s v="Delivered"/>
    <n v="3"/>
    <n v="36149"/>
    <n v="108447"/>
    <n v="32676.76"/>
    <n v="0.30131548129501046"/>
  </r>
  <r>
    <s v="ORD0268"/>
    <d v="2024-01-09T00:00:00"/>
    <s v="CUST0268"/>
    <s v="Rahul"/>
    <s v="Male"/>
    <n v="46"/>
    <s v="Delhi"/>
    <x v="0"/>
    <s v="Corporate"/>
    <x v="2"/>
    <s v="Cash on Delivery"/>
    <s v="Cancelled"/>
    <n v="3"/>
    <n v="8613"/>
    <n v="20671.2"/>
    <n v="3466.05"/>
    <n v="0.16767531638221295"/>
  </r>
  <r>
    <s v="ORD0269"/>
    <d v="2024-08-31T00:00:00"/>
    <s v="CUST0269"/>
    <s v="Aarav"/>
    <s v="Male"/>
    <n v="39"/>
    <s v="Mumbai"/>
    <x v="2"/>
    <s v="Home Office"/>
    <x v="3"/>
    <s v="Cash on Delivery"/>
    <s v="Returned"/>
    <n v="5"/>
    <n v="6207"/>
    <n v="29483.25"/>
    <n v="9709.65"/>
    <n v="0.32932766910025185"/>
  </r>
  <r>
    <s v="ORD0270"/>
    <d v="2024-11-06T00:00:00"/>
    <s v="CUST0270"/>
    <s v="Neha"/>
    <s v="Female"/>
    <n v="28"/>
    <s v="Mumbai"/>
    <x v="0"/>
    <s v="Corporate"/>
    <x v="4"/>
    <s v="Credit Card"/>
    <s v="Pending"/>
    <n v="2"/>
    <n v="45702"/>
    <n v="91404"/>
    <n v="26393.79"/>
    <n v="0.28875968228961535"/>
  </r>
  <r>
    <s v="ORD0271"/>
    <d v="2024-12-20T00:00:00"/>
    <s v="CUST0271"/>
    <s v="Sneha"/>
    <s v="Female"/>
    <n v="56"/>
    <s v="Bangalore"/>
    <x v="0"/>
    <s v="Consumer"/>
    <x v="0"/>
    <s v="UPI"/>
    <s v="Pending"/>
    <n v="1"/>
    <n v="2112"/>
    <n v="1795.2"/>
    <n v="281.57"/>
    <n v="0.15684603386809268"/>
  </r>
  <r>
    <s v="ORD0272"/>
    <d v="2024-11-13T00:00:00"/>
    <s v="CUST0272"/>
    <s v="Ananya"/>
    <s v="Male"/>
    <n v="58"/>
    <s v="Chennai"/>
    <x v="1"/>
    <s v="Corporate"/>
    <x v="4"/>
    <s v="UPI"/>
    <s v="Cancelled"/>
    <n v="5"/>
    <n v="40123"/>
    <n v="190584.25"/>
    <n v="51088.21"/>
    <n v="0.26806102812798016"/>
  </r>
  <r>
    <s v="ORD0273"/>
    <d v="2024-03-23T00:00:00"/>
    <s v="CUST0273"/>
    <s v="Sneha"/>
    <s v="Female"/>
    <n v="42"/>
    <s v="Pune"/>
    <x v="0"/>
    <s v="Home Office"/>
    <x v="3"/>
    <s v="Net Banking"/>
    <s v="Returned"/>
    <n v="2"/>
    <n v="1310"/>
    <n v="2358"/>
    <n v="660.16"/>
    <n v="0.27996607294317216"/>
  </r>
  <r>
    <s v="ORD0274"/>
    <d v="2024-02-18T00:00:00"/>
    <s v="CUST0274"/>
    <s v="Amit"/>
    <s v="Male"/>
    <n v="25"/>
    <s v="Delhi"/>
    <x v="0"/>
    <s v="Corporate"/>
    <x v="0"/>
    <s v="Net Banking"/>
    <s v="Returned"/>
    <n v="1"/>
    <n v="18467"/>
    <n v="16620.3"/>
    <n v="2593.23"/>
    <n v="0.15602786953304093"/>
  </r>
  <r>
    <s v="ORD0275"/>
    <d v="2024-09-07T00:00:00"/>
    <s v="CUST0275"/>
    <s v="Rahul"/>
    <s v="Female"/>
    <n v="19"/>
    <s v="Delhi"/>
    <x v="0"/>
    <s v="Home Office"/>
    <x v="4"/>
    <s v="Net Banking"/>
    <s v="Pending"/>
    <n v="5"/>
    <n v="31677"/>
    <n v="150465.75"/>
    <n v="47194.81"/>
    <n v="0.31365815808581021"/>
  </r>
  <r>
    <s v="ORD0276"/>
    <d v="2024-05-18T00:00:00"/>
    <s v="CUST0276"/>
    <s v="Priya"/>
    <s v="Female"/>
    <n v="22"/>
    <s v="Mumbai"/>
    <x v="0"/>
    <s v="Consumer"/>
    <x v="3"/>
    <s v="Net Banking"/>
    <s v="Cancelled"/>
    <n v="5"/>
    <n v="15436"/>
    <n v="77180"/>
    <n v="21044.61"/>
    <n v="0.2726692148224929"/>
  </r>
  <r>
    <s v="ORD0277"/>
    <d v="2024-03-19T00:00:00"/>
    <s v="CUST0277"/>
    <s v="Rohan"/>
    <s v="Male"/>
    <n v="37"/>
    <s v="Chennai"/>
    <x v="0"/>
    <s v="Home Office"/>
    <x v="1"/>
    <s v="Debit Card"/>
    <s v="Returned"/>
    <n v="1"/>
    <n v="2070"/>
    <n v="1966.5"/>
    <n v="682.75"/>
    <n v="0.34719043986778542"/>
  </r>
  <r>
    <s v="ORD0278"/>
    <d v="2024-01-23T00:00:00"/>
    <s v="CUST0278"/>
    <s v="Rohan"/>
    <s v="Female"/>
    <n v="40"/>
    <s v="Hyderabad"/>
    <x v="1"/>
    <s v="Corporate"/>
    <x v="1"/>
    <s v="Net Banking"/>
    <s v="Cancelled"/>
    <n v="5"/>
    <n v="1884"/>
    <n v="9420"/>
    <n v="3337.13"/>
    <n v="0.35426008492569006"/>
  </r>
  <r>
    <s v="ORD0279"/>
    <d v="2024-07-01T00:00:00"/>
    <s v="CUST0279"/>
    <s v="Aarav"/>
    <s v="Male"/>
    <n v="29"/>
    <s v="Delhi"/>
    <x v="0"/>
    <s v="Corporate"/>
    <x v="4"/>
    <s v="Cash on Delivery"/>
    <s v="Returned"/>
    <n v="3"/>
    <n v="41909"/>
    <n v="125727"/>
    <n v="38845.46"/>
    <n v="0.30896672950122089"/>
  </r>
  <r>
    <s v="ORD0280"/>
    <d v="2024-10-05T00:00:00"/>
    <s v="CUST0280"/>
    <s v="Rahul"/>
    <s v="Female"/>
    <n v="42"/>
    <s v="Chennai"/>
    <x v="2"/>
    <s v="Consumer"/>
    <x v="1"/>
    <s v="UPI"/>
    <s v="Returned"/>
    <n v="3"/>
    <n v="12324"/>
    <n v="31426.2"/>
    <n v="9393.48"/>
    <n v="0.29890600836244913"/>
  </r>
  <r>
    <s v="ORD0281"/>
    <d v="2024-06-07T00:00:00"/>
    <s v="CUST0281"/>
    <s v="Rohan"/>
    <s v="Male"/>
    <n v="59"/>
    <s v="Bangalore"/>
    <x v="0"/>
    <s v="Corporate"/>
    <x v="2"/>
    <s v="UPI"/>
    <s v="Delivered"/>
    <n v="5"/>
    <n v="32485"/>
    <n v="162425"/>
    <n v="27757"/>
    <n v="0.17089118054486685"/>
  </r>
  <r>
    <s v="ORD0282"/>
    <d v="2024-08-24T00:00:00"/>
    <s v="CUST0282"/>
    <s v="Rohan"/>
    <s v="Male"/>
    <n v="21"/>
    <s v="Delhi"/>
    <x v="0"/>
    <s v="Consumer"/>
    <x v="2"/>
    <s v="UPI"/>
    <s v="Pending"/>
    <n v="2"/>
    <n v="47613"/>
    <n v="80942.100000000006"/>
    <n v="15848.96"/>
    <n v="0.19580613796775717"/>
  </r>
  <r>
    <s v="ORD0283"/>
    <d v="2024-10-18T00:00:00"/>
    <s v="CUST0283"/>
    <s v="Ananya"/>
    <s v="Female"/>
    <n v="25"/>
    <s v="Pune"/>
    <x v="0"/>
    <s v="Home Office"/>
    <x v="4"/>
    <s v="Debit Card"/>
    <s v="Cancelled"/>
    <n v="3"/>
    <n v="42425"/>
    <n v="108183.75"/>
    <n v="22369.61"/>
    <n v="0.20677421516632583"/>
  </r>
  <r>
    <s v="ORD0284"/>
    <d v="2024-05-08T00:00:00"/>
    <s v="CUST0284"/>
    <s v="Pooja"/>
    <s v="Male"/>
    <n v="41"/>
    <s v="Hyderabad"/>
    <x v="0"/>
    <s v="Consumer"/>
    <x v="1"/>
    <s v="Debit Card"/>
    <s v="Returned"/>
    <n v="1"/>
    <n v="21755"/>
    <n v="20667.25"/>
    <n v="3807.53"/>
    <n v="0.18423012253686388"/>
  </r>
  <r>
    <s v="ORD0285"/>
    <d v="2024-01-12T00:00:00"/>
    <s v="CUST0285"/>
    <s v="Amit"/>
    <s v="Male"/>
    <n v="55"/>
    <s v="Pune"/>
    <x v="0"/>
    <s v="Home Office"/>
    <x v="1"/>
    <s v="Credit Card"/>
    <s v="Cancelled"/>
    <n v="5"/>
    <n v="14418"/>
    <n v="72090"/>
    <n v="22093.79"/>
    <n v="0.30647510056873356"/>
  </r>
  <r>
    <s v="ORD0286"/>
    <d v="2024-04-12T00:00:00"/>
    <s v="CUST0286"/>
    <s v="Rohan"/>
    <s v="Male"/>
    <n v="20"/>
    <s v="Hyderabad"/>
    <x v="0"/>
    <s v="Corporate"/>
    <x v="1"/>
    <s v="UPI"/>
    <s v="Pending"/>
    <n v="1"/>
    <n v="6929"/>
    <n v="6236.1"/>
    <n v="2142.8000000000002"/>
    <n v="0.3436121935183849"/>
  </r>
  <r>
    <s v="ORD0287"/>
    <d v="2024-09-21T00:00:00"/>
    <s v="CUST0287"/>
    <s v="Amit"/>
    <s v="Male"/>
    <n v="36"/>
    <s v="Pune"/>
    <x v="0"/>
    <s v="Consumer"/>
    <x v="1"/>
    <s v="UPI"/>
    <s v="Returned"/>
    <n v="4"/>
    <n v="31249"/>
    <n v="112496.4"/>
    <n v="31119.01"/>
    <n v="0.27662227413499452"/>
  </r>
  <r>
    <s v="ORD0288"/>
    <d v="2024-06-11T00:00:00"/>
    <s v="CUST0288"/>
    <s v="Neha"/>
    <s v="Male"/>
    <n v="51"/>
    <s v="Mumbai"/>
    <x v="0"/>
    <s v="Home Office"/>
    <x v="4"/>
    <s v="Debit Card"/>
    <s v="Delivered"/>
    <n v="1"/>
    <n v="11977"/>
    <n v="11977"/>
    <n v="3015.85"/>
    <n v="0.25180345662519826"/>
  </r>
  <r>
    <s v="ORD0289"/>
    <d v="2024-07-15T00:00:00"/>
    <s v="CUST0289"/>
    <s v="Neha"/>
    <s v="Female"/>
    <n v="59"/>
    <s v="Mumbai"/>
    <x v="0"/>
    <s v="Home Office"/>
    <x v="2"/>
    <s v="UPI"/>
    <s v="Cancelled"/>
    <n v="3"/>
    <n v="29609"/>
    <n v="71061.600000000006"/>
    <n v="22827.56"/>
    <n v="0.32123622322041723"/>
  </r>
  <r>
    <s v="ORD0290"/>
    <d v="2024-01-24T00:00:00"/>
    <s v="CUST0290"/>
    <s v="Pooja"/>
    <s v="Male"/>
    <n v="24"/>
    <s v="Pune"/>
    <x v="0"/>
    <s v="Corporate"/>
    <x v="2"/>
    <s v="UPI"/>
    <s v="Pending"/>
    <n v="4"/>
    <n v="26317"/>
    <n v="94741.2"/>
    <n v="34564.53"/>
    <n v="0.36483103443908249"/>
  </r>
  <r>
    <s v="ORD0291"/>
    <d v="2024-09-17T00:00:00"/>
    <s v="CUST0291"/>
    <s v="Ananya"/>
    <s v="Male"/>
    <n v="49"/>
    <s v="Bangalore"/>
    <x v="0"/>
    <s v="Home Office"/>
    <x v="1"/>
    <s v="UPI"/>
    <s v="Returned"/>
    <n v="3"/>
    <n v="38712"/>
    <n v="104522.4"/>
    <n v="36101.269999999997"/>
    <n v="0.34539266224273457"/>
  </r>
  <r>
    <s v="ORD0292"/>
    <d v="2024-10-29T00:00:00"/>
    <s v="CUST0292"/>
    <s v="Amit"/>
    <s v="Female"/>
    <n v="32"/>
    <s v="Hyderabad"/>
    <x v="0"/>
    <s v="Consumer"/>
    <x v="4"/>
    <s v="Debit Card"/>
    <s v="Delivered"/>
    <n v="2"/>
    <n v="41107"/>
    <n v="65771.199999999997"/>
    <n v="19000.009999999998"/>
    <n v="0.28888039141752014"/>
  </r>
  <r>
    <s v="ORD0293"/>
    <d v="2024-04-13T00:00:00"/>
    <s v="CUST0293"/>
    <s v="Vikram"/>
    <s v="Male"/>
    <n v="48"/>
    <s v="Hyderabad"/>
    <x v="0"/>
    <s v="Home Office"/>
    <x v="2"/>
    <s v="Cash on Delivery"/>
    <s v="Delivered"/>
    <n v="4"/>
    <n v="9848"/>
    <n v="31513.599999999999"/>
    <n v="4913.43"/>
    <n v="0.15591458925670187"/>
  </r>
  <r>
    <s v="ORD0294"/>
    <d v="2024-10-06T00:00:00"/>
    <s v="CUST0294"/>
    <s v="Aarav"/>
    <s v="Female"/>
    <n v="60"/>
    <s v="Chennai"/>
    <x v="1"/>
    <s v="Consumer"/>
    <x v="2"/>
    <s v="UPI"/>
    <s v="Cancelled"/>
    <n v="1"/>
    <n v="32688"/>
    <n v="31053.599999999999"/>
    <n v="5965.94"/>
    <n v="0.19211750006440476"/>
  </r>
  <r>
    <s v="ORD0295"/>
    <d v="2024-06-11T00:00:00"/>
    <s v="CUST0295"/>
    <s v="Ananya"/>
    <s v="Male"/>
    <n v="55"/>
    <s v="Pune"/>
    <x v="0"/>
    <s v="Consumer"/>
    <x v="1"/>
    <s v="Debit Card"/>
    <s v="Delivered"/>
    <n v="1"/>
    <n v="44040"/>
    <n v="44040"/>
    <n v="14011.47"/>
    <n v="0.31815326975476838"/>
  </r>
  <r>
    <s v="ORD0296"/>
    <d v="2024-08-08T00:00:00"/>
    <s v="CUST0296"/>
    <s v="Rahul"/>
    <s v="Female"/>
    <n v="31"/>
    <s v="Bangalore"/>
    <x v="0"/>
    <s v="Consumer"/>
    <x v="3"/>
    <s v="Net Banking"/>
    <s v="Returned"/>
    <n v="5"/>
    <n v="45900"/>
    <n v="206550"/>
    <n v="41403.370000000003"/>
    <n v="0.20045204550956186"/>
  </r>
  <r>
    <s v="ORD0297"/>
    <d v="2024-06-18T00:00:00"/>
    <s v="CUST0297"/>
    <s v="Aarav"/>
    <s v="Male"/>
    <n v="31"/>
    <s v="Chennai"/>
    <x v="0"/>
    <s v="Consumer"/>
    <x v="2"/>
    <s v="Cash on Delivery"/>
    <s v="Returned"/>
    <n v="3"/>
    <n v="6937"/>
    <n v="19770.45"/>
    <n v="5496.63"/>
    <n v="0.27802250328141243"/>
  </r>
  <r>
    <s v="ORD0298"/>
    <d v="2024-01-20T00:00:00"/>
    <s v="CUST0298"/>
    <s v="Rahul"/>
    <s v="Male"/>
    <n v="31"/>
    <s v="Bangalore"/>
    <x v="0"/>
    <s v="Consumer"/>
    <x v="0"/>
    <s v="Credit Card"/>
    <s v="Delivered"/>
    <n v="2"/>
    <n v="8557"/>
    <n v="15402.6"/>
    <n v="3622.98"/>
    <n v="0.23521872930544194"/>
  </r>
  <r>
    <s v="ORD0299"/>
    <d v="2024-05-31T00:00:00"/>
    <s v="CUST0299"/>
    <s v="Aarav"/>
    <s v="Male"/>
    <n v="26"/>
    <s v="Mumbai"/>
    <x v="0"/>
    <s v="Corporate"/>
    <x v="2"/>
    <s v="Credit Card"/>
    <s v="Pending"/>
    <n v="2"/>
    <n v="30079"/>
    <n v="51134.3"/>
    <n v="12882.69"/>
    <n v="0.25193832711115632"/>
  </r>
  <r>
    <s v="ORD0300"/>
    <d v="2024-11-02T00:00:00"/>
    <s v="CUST0300"/>
    <s v="Vikram"/>
    <s v="Male"/>
    <n v="53"/>
    <s v="Chennai"/>
    <x v="0"/>
    <s v="Home Office"/>
    <x v="2"/>
    <s v="Net Banking"/>
    <s v="Cancelled"/>
    <n v="3"/>
    <n v="14206"/>
    <n v="40487.1"/>
    <n v="8518.89"/>
    <n v="0.2104099824388509"/>
  </r>
  <r>
    <s v="ORD0301"/>
    <d v="2024-01-28T00:00:00"/>
    <s v="CUST0301"/>
    <s v="Rahul"/>
    <s v="Female"/>
    <n v="35"/>
    <s v="Hyderabad"/>
    <x v="0"/>
    <s v="Home Office"/>
    <x v="2"/>
    <s v="Credit Card"/>
    <s v="Returned"/>
    <n v="1"/>
    <n v="36863"/>
    <n v="33176.699999999997"/>
    <n v="7983.4"/>
    <n v="0.24063273321336964"/>
  </r>
  <r>
    <s v="ORD0302"/>
    <d v="2024-09-30T00:00:00"/>
    <s v="CUST0302"/>
    <s v="Neha"/>
    <s v="Male"/>
    <n v="24"/>
    <s v="Bangalore"/>
    <x v="0"/>
    <s v="Corporate"/>
    <x v="0"/>
    <s v="Cash on Delivery"/>
    <s v="Returned"/>
    <n v="1"/>
    <n v="48820"/>
    <n v="46379"/>
    <n v="7629.75"/>
    <n v="0.16450872161969857"/>
  </r>
  <r>
    <s v="ORD0303"/>
    <d v="2024-03-31T00:00:00"/>
    <s v="CUST0303"/>
    <s v="Sneha"/>
    <s v="Female"/>
    <n v="34"/>
    <s v="Delhi"/>
    <x v="0"/>
    <s v="Consumer"/>
    <x v="1"/>
    <s v="Debit Card"/>
    <s v="Returned"/>
    <n v="1"/>
    <n v="39602"/>
    <n v="39602"/>
    <n v="8349.25"/>
    <n v="0.2108289985354275"/>
  </r>
  <r>
    <s v="ORD0304"/>
    <d v="2024-04-08T00:00:00"/>
    <s v="CUST0304"/>
    <s v="Priya"/>
    <s v="Male"/>
    <n v="35"/>
    <s v="Pune"/>
    <x v="0"/>
    <s v="Consumer"/>
    <x v="3"/>
    <s v="Credit Card"/>
    <s v="Pending"/>
    <n v="2"/>
    <n v="14337"/>
    <n v="24372.9"/>
    <n v="8374.17"/>
    <n v="0.3435852935022094"/>
  </r>
  <r>
    <s v="ORD0305"/>
    <d v="2024-03-06T00:00:00"/>
    <s v="CUST0305"/>
    <s v="Pooja"/>
    <s v="Female"/>
    <n v="37"/>
    <s v="Hyderabad"/>
    <x v="2"/>
    <s v="Consumer"/>
    <x v="2"/>
    <s v="Cash on Delivery"/>
    <s v="Returned"/>
    <n v="4"/>
    <n v="13158"/>
    <n v="44737.2"/>
    <n v="17209.37"/>
    <n v="0.38467695787845463"/>
  </r>
  <r>
    <s v="ORD0306"/>
    <d v="2024-05-22T00:00:00"/>
    <s v="CUST0306"/>
    <s v="Sneha"/>
    <s v="Female"/>
    <n v="30"/>
    <s v="Delhi"/>
    <x v="0"/>
    <s v="Consumer"/>
    <x v="4"/>
    <s v="Debit Card"/>
    <s v="Cancelled"/>
    <n v="5"/>
    <n v="45616"/>
    <n v="216676"/>
    <n v="47929.42"/>
    <n v="0.22120317893998412"/>
  </r>
  <r>
    <s v="ORD0307"/>
    <d v="2024-09-07T00:00:00"/>
    <s v="CUST0307"/>
    <s v="Priya"/>
    <s v="Female"/>
    <n v="53"/>
    <s v="Chennai"/>
    <x v="0"/>
    <s v="Consumer"/>
    <x v="0"/>
    <s v="UPI"/>
    <s v="Pending"/>
    <n v="4"/>
    <n v="24613"/>
    <n v="88606.8"/>
    <n v="20544.259999999998"/>
    <n v="0.23185872867545151"/>
  </r>
  <r>
    <s v="ORD0308"/>
    <d v="2024-01-30T00:00:00"/>
    <s v="CUST0308"/>
    <s v="Pooja"/>
    <s v="Male"/>
    <n v="36"/>
    <s v="Mumbai"/>
    <x v="0"/>
    <s v="Corporate"/>
    <x v="0"/>
    <s v="Credit Card"/>
    <s v="Pending"/>
    <n v="5"/>
    <n v="47059"/>
    <n v="223530.25"/>
    <n v="48935.54"/>
    <n v="0.21892133167658517"/>
  </r>
  <r>
    <s v="ORD0309"/>
    <d v="2024-09-06T00:00:00"/>
    <s v="CUST0309"/>
    <s v="Sneha"/>
    <s v="Female"/>
    <n v="23"/>
    <s v="Chennai"/>
    <x v="0"/>
    <s v="Home Office"/>
    <x v="3"/>
    <s v="Credit Card"/>
    <s v="Pending"/>
    <n v="5"/>
    <n v="11689"/>
    <n v="55522.75"/>
    <n v="20611.810000000001"/>
    <n v="0.37123179237339654"/>
  </r>
  <r>
    <s v="ORD0310"/>
    <d v="2024-04-20T00:00:00"/>
    <s v="CUST0310"/>
    <s v="Amit"/>
    <s v="Male"/>
    <n v="23"/>
    <s v="Pune"/>
    <x v="2"/>
    <s v="Home Office"/>
    <x v="2"/>
    <s v="Debit Card"/>
    <s v="Delivered"/>
    <n v="3"/>
    <n v="38400"/>
    <n v="115200"/>
    <n v="26500.560000000001"/>
    <n v="0.23003958333333335"/>
  </r>
  <r>
    <s v="ORD0311"/>
    <d v="2024-09-08T00:00:00"/>
    <s v="CUST0311"/>
    <s v="Vikram"/>
    <s v="Male"/>
    <n v="50"/>
    <s v="Chennai"/>
    <x v="0"/>
    <s v="Consumer"/>
    <x v="3"/>
    <s v="Net Banking"/>
    <s v="Delivered"/>
    <n v="1"/>
    <n v="34050"/>
    <n v="27240"/>
    <n v="10715.66"/>
    <n v="0.39337958883994123"/>
  </r>
  <r>
    <s v="ORD0312"/>
    <d v="2024-10-18T00:00:00"/>
    <s v="CUST0312"/>
    <s v="Sneha"/>
    <s v="Female"/>
    <n v="35"/>
    <s v="Hyderabad"/>
    <x v="0"/>
    <s v="Consumer"/>
    <x v="4"/>
    <s v="Net Banking"/>
    <s v="Cancelled"/>
    <n v="2"/>
    <n v="5943"/>
    <n v="10103.1"/>
    <n v="3195.1"/>
    <n v="0.31624946798507386"/>
  </r>
  <r>
    <s v="ORD0313"/>
    <d v="2024-11-21T00:00:00"/>
    <s v="CUST0313"/>
    <s v="Rahul"/>
    <s v="Male"/>
    <n v="26"/>
    <s v="Pune"/>
    <x v="1"/>
    <s v="Corporate"/>
    <x v="2"/>
    <s v="Debit Card"/>
    <s v="Returned"/>
    <n v="2"/>
    <n v="8173"/>
    <n v="14711.4"/>
    <n v="4548.9399999999996"/>
    <n v="0.30921190369373408"/>
  </r>
  <r>
    <s v="ORD0314"/>
    <d v="2024-06-04T00:00:00"/>
    <s v="CUST0314"/>
    <s v="Vikram"/>
    <s v="Female"/>
    <n v="23"/>
    <s v="Hyderabad"/>
    <x v="0"/>
    <s v="Consumer"/>
    <x v="3"/>
    <s v="Net Banking"/>
    <s v="Cancelled"/>
    <n v="4"/>
    <n v="21560"/>
    <n v="77616"/>
    <n v="18242.3"/>
    <n v="0.23503272521129662"/>
  </r>
  <r>
    <s v="ORD0315"/>
    <d v="2024-09-02T00:00:00"/>
    <s v="CUST0315"/>
    <s v="Aarav"/>
    <s v="Male"/>
    <n v="57"/>
    <s v="Delhi"/>
    <x v="2"/>
    <s v="Home Office"/>
    <x v="0"/>
    <s v="Credit Card"/>
    <s v="Pending"/>
    <n v="4"/>
    <n v="30465"/>
    <n v="115767"/>
    <n v="43937.89"/>
    <n v="0.37953726018640888"/>
  </r>
  <r>
    <s v="ORD0316"/>
    <d v="2024-08-13T00:00:00"/>
    <s v="CUST0316"/>
    <s v="Ananya"/>
    <s v="Female"/>
    <n v="48"/>
    <s v="Hyderabad"/>
    <x v="0"/>
    <s v="Home Office"/>
    <x v="2"/>
    <s v="Debit Card"/>
    <s v="Delivered"/>
    <n v="2"/>
    <n v="48521"/>
    <n v="92189.9"/>
    <n v="27369.5"/>
    <n v="0.29688176253580928"/>
  </r>
  <r>
    <s v="ORD0317"/>
    <d v="2024-09-13T00:00:00"/>
    <s v="CUST0317"/>
    <s v="Aarav"/>
    <s v="Female"/>
    <n v="50"/>
    <s v="Pune"/>
    <x v="0"/>
    <s v="Home Office"/>
    <x v="2"/>
    <s v="Credit Card"/>
    <s v="Delivered"/>
    <n v="4"/>
    <n v="1828"/>
    <n v="7312"/>
    <n v="2138.67"/>
    <n v="0.29248769146608317"/>
  </r>
  <r>
    <s v="ORD0318"/>
    <d v="2024-08-01T00:00:00"/>
    <s v="CUST0318"/>
    <s v="Neha"/>
    <s v="Male"/>
    <n v="27"/>
    <s v="Pune"/>
    <x v="2"/>
    <s v="Home Office"/>
    <x v="0"/>
    <s v="Cash on Delivery"/>
    <s v="Returned"/>
    <n v="5"/>
    <n v="25780"/>
    <n v="116010"/>
    <n v="37720.410000000003"/>
    <n v="0.32514791828290668"/>
  </r>
  <r>
    <s v="ORD0319"/>
    <d v="2024-05-25T00:00:00"/>
    <s v="CUST0319"/>
    <s v="Ananya"/>
    <s v="Male"/>
    <n v="22"/>
    <s v="Hyderabad"/>
    <x v="2"/>
    <s v="Consumer"/>
    <x v="0"/>
    <s v="Cash on Delivery"/>
    <s v="Delivered"/>
    <n v="5"/>
    <n v="11241"/>
    <n v="47774.25"/>
    <n v="10017.780000000001"/>
    <n v="0.20968994803686086"/>
  </r>
  <r>
    <s v="ORD0320"/>
    <d v="2024-06-22T00:00:00"/>
    <s v="CUST0320"/>
    <s v="Pooja"/>
    <s v="Male"/>
    <n v="39"/>
    <s v="Mumbai"/>
    <x v="1"/>
    <s v="Consumer"/>
    <x v="2"/>
    <s v="Cash on Delivery"/>
    <s v="Cancelled"/>
    <n v="1"/>
    <n v="36380"/>
    <n v="32742"/>
    <n v="12690.82"/>
    <n v="0.38760063526968419"/>
  </r>
  <r>
    <s v="ORD0321"/>
    <d v="2024-09-22T00:00:00"/>
    <s v="CUST0321"/>
    <s v="Rahul"/>
    <s v="Male"/>
    <n v="27"/>
    <s v="Pune"/>
    <x v="0"/>
    <s v="Corporate"/>
    <x v="3"/>
    <s v="UPI"/>
    <s v="Delivered"/>
    <n v="4"/>
    <n v="12875"/>
    <n v="48925"/>
    <n v="11661.94"/>
    <n v="0.23836361778231988"/>
  </r>
  <r>
    <s v="ORD0322"/>
    <d v="2024-02-17T00:00:00"/>
    <s v="CUST0322"/>
    <s v="Rohan"/>
    <s v="Female"/>
    <n v="39"/>
    <s v="Hyderabad"/>
    <x v="0"/>
    <s v="Consumer"/>
    <x v="1"/>
    <s v="Debit Card"/>
    <s v="Cancelled"/>
    <n v="3"/>
    <n v="8545"/>
    <n v="23071.5"/>
    <n v="6588.66"/>
    <n v="0.28557571029191858"/>
  </r>
  <r>
    <s v="ORD0323"/>
    <d v="2024-06-26T00:00:00"/>
    <s v="CUST0323"/>
    <s v="Sneha"/>
    <s v="Male"/>
    <n v="21"/>
    <s v="Hyderabad"/>
    <x v="0"/>
    <s v="Consumer"/>
    <x v="3"/>
    <s v="Credit Card"/>
    <s v="Returned"/>
    <n v="1"/>
    <n v="17358"/>
    <n v="14754.3"/>
    <n v="5465.71"/>
    <n v="0.37044861498003973"/>
  </r>
  <r>
    <s v="ORD0324"/>
    <d v="2024-02-09T00:00:00"/>
    <s v="CUST0324"/>
    <s v="Rahul"/>
    <s v="Male"/>
    <n v="54"/>
    <s v="Bangalore"/>
    <x v="1"/>
    <s v="Consumer"/>
    <x v="2"/>
    <s v="Cash on Delivery"/>
    <s v="Pending"/>
    <n v="5"/>
    <n v="32576"/>
    <n v="130304"/>
    <n v="27091.35"/>
    <n v="0.20790881323673868"/>
  </r>
  <r>
    <s v="ORD0325"/>
    <d v="2024-11-14T00:00:00"/>
    <s v="CUST0325"/>
    <s v="Rohan"/>
    <s v="Female"/>
    <n v="36"/>
    <s v="Bangalore"/>
    <x v="1"/>
    <s v="Corporate"/>
    <x v="2"/>
    <s v="Debit Card"/>
    <s v="Cancelled"/>
    <n v="1"/>
    <n v="14133"/>
    <n v="11306.4"/>
    <n v="2431.4499999999998"/>
    <n v="0.21505076770678552"/>
  </r>
  <r>
    <s v="ORD0326"/>
    <d v="2024-04-06T00:00:00"/>
    <s v="CUST0326"/>
    <s v="Priya"/>
    <s v="Male"/>
    <n v="45"/>
    <s v="Hyderabad"/>
    <x v="0"/>
    <s v="Consumer"/>
    <x v="0"/>
    <s v="Credit Card"/>
    <s v="Delivered"/>
    <n v="3"/>
    <n v="23246"/>
    <n v="69738"/>
    <n v="21565.25"/>
    <n v="0.30923241274484498"/>
  </r>
  <r>
    <s v="ORD0327"/>
    <d v="2024-03-02T00:00:00"/>
    <s v="CUST0327"/>
    <s v="Priya"/>
    <s v="Female"/>
    <n v="44"/>
    <s v="Delhi"/>
    <x v="0"/>
    <s v="Home Office"/>
    <x v="2"/>
    <s v="Debit Card"/>
    <s v="Pending"/>
    <n v="4"/>
    <n v="48562"/>
    <n v="155398.39999999999"/>
    <n v="45631.03"/>
    <n v="0.29363899499608748"/>
  </r>
  <r>
    <s v="ORD0328"/>
    <d v="2024-05-12T00:00:00"/>
    <s v="CUST0328"/>
    <s v="Ananya"/>
    <s v="Male"/>
    <n v="49"/>
    <s v="Chennai"/>
    <x v="0"/>
    <s v="Home Office"/>
    <x v="4"/>
    <s v="Net Banking"/>
    <s v="Delivered"/>
    <n v="5"/>
    <n v="13970"/>
    <n v="55880"/>
    <n v="22214.19"/>
    <n v="0.39753382247673585"/>
  </r>
  <r>
    <s v="ORD0329"/>
    <d v="2024-04-02T00:00:00"/>
    <s v="CUST0329"/>
    <s v="Amit"/>
    <s v="Female"/>
    <n v="32"/>
    <s v="Hyderabad"/>
    <x v="0"/>
    <s v="Home Office"/>
    <x v="4"/>
    <s v="Cash on Delivery"/>
    <s v="Returned"/>
    <n v="4"/>
    <n v="28357"/>
    <n v="96413.8"/>
    <n v="28801.9"/>
    <n v="0.29873213170728674"/>
  </r>
  <r>
    <s v="ORD0330"/>
    <d v="2024-05-14T00:00:00"/>
    <s v="CUST0330"/>
    <s v="Neha"/>
    <s v="Female"/>
    <n v="49"/>
    <s v="Pune"/>
    <x v="0"/>
    <s v="Home Office"/>
    <x v="4"/>
    <s v="Net Banking"/>
    <s v="Returned"/>
    <n v="1"/>
    <n v="35226"/>
    <n v="28180.799999999999"/>
    <n v="5350.1"/>
    <n v="0.18984911712939309"/>
  </r>
  <r>
    <s v="ORD0331"/>
    <d v="2024-09-12T00:00:00"/>
    <s v="CUST0331"/>
    <s v="Ananya"/>
    <s v="Male"/>
    <n v="52"/>
    <s v="Chennai"/>
    <x v="0"/>
    <s v="Home Office"/>
    <x v="1"/>
    <s v="Debit Card"/>
    <s v="Pending"/>
    <n v="3"/>
    <n v="39481"/>
    <n v="94754.4"/>
    <n v="29553.98"/>
    <n v="0.31190087214947276"/>
  </r>
  <r>
    <s v="ORD0332"/>
    <d v="2024-03-15T00:00:00"/>
    <s v="CUST0332"/>
    <s v="Aarav"/>
    <s v="Male"/>
    <n v="42"/>
    <s v="Delhi"/>
    <x v="2"/>
    <s v="Consumer"/>
    <x v="2"/>
    <s v="Cash on Delivery"/>
    <s v="Delivered"/>
    <n v="3"/>
    <n v="26590"/>
    <n v="75781.5"/>
    <n v="12895.44"/>
    <n v="0.17016606955523447"/>
  </r>
  <r>
    <s v="ORD0333"/>
    <d v="2024-12-30T00:00:00"/>
    <s v="CUST0333"/>
    <s v="Amit"/>
    <s v="Female"/>
    <n v="42"/>
    <s v="Mumbai"/>
    <x v="0"/>
    <s v="Home Office"/>
    <x v="4"/>
    <s v="Cash on Delivery"/>
    <s v="Delivered"/>
    <n v="5"/>
    <n v="2923"/>
    <n v="13884.25"/>
    <n v="3949.47"/>
    <n v="0.2844568485874282"/>
  </r>
  <r>
    <s v="ORD0334"/>
    <d v="2024-06-29T00:00:00"/>
    <s v="CUST0334"/>
    <s v="Rohan"/>
    <s v="Female"/>
    <n v="55"/>
    <s v="Bangalore"/>
    <x v="1"/>
    <s v="Home Office"/>
    <x v="4"/>
    <s v="Debit Card"/>
    <s v="Pending"/>
    <n v="1"/>
    <n v="34767"/>
    <n v="34767"/>
    <n v="7530.99"/>
    <n v="0.21661316765898697"/>
  </r>
  <r>
    <s v="ORD0335"/>
    <d v="2024-03-30T00:00:00"/>
    <s v="CUST0335"/>
    <s v="Neha"/>
    <s v="Female"/>
    <n v="56"/>
    <s v="Bangalore"/>
    <x v="0"/>
    <s v="Corporate"/>
    <x v="3"/>
    <s v="Credit Card"/>
    <s v="Pending"/>
    <n v="3"/>
    <n v="33471"/>
    <n v="85351.05"/>
    <n v="29636.01"/>
    <n v="0.34722490232984826"/>
  </r>
  <r>
    <s v="ORD0336"/>
    <d v="2024-02-12T00:00:00"/>
    <s v="CUST0336"/>
    <s v="Rahul"/>
    <s v="Female"/>
    <n v="29"/>
    <s v="Hyderabad"/>
    <x v="0"/>
    <s v="Corporate"/>
    <x v="2"/>
    <s v="Cash on Delivery"/>
    <s v="Cancelled"/>
    <n v="4"/>
    <n v="18983"/>
    <n v="60745.599999999999"/>
    <n v="14039.59"/>
    <n v="0.23112110177527262"/>
  </r>
  <r>
    <s v="ORD0337"/>
    <d v="2024-09-05T00:00:00"/>
    <s v="CUST0337"/>
    <s v="Neha"/>
    <s v="Female"/>
    <n v="34"/>
    <s v="Chennai"/>
    <x v="0"/>
    <s v="Home Office"/>
    <x v="1"/>
    <s v="Credit Card"/>
    <s v="Returned"/>
    <n v="2"/>
    <n v="31200"/>
    <n v="53040"/>
    <n v="10301.879999999999"/>
    <n v="0.19422850678733031"/>
  </r>
  <r>
    <s v="ORD0338"/>
    <d v="2024-06-02T00:00:00"/>
    <s v="CUST0338"/>
    <s v="Neha"/>
    <s v="Male"/>
    <n v="54"/>
    <s v="Mumbai"/>
    <x v="0"/>
    <s v="Consumer"/>
    <x v="3"/>
    <s v="Cash on Delivery"/>
    <s v="Pending"/>
    <n v="3"/>
    <n v="37390"/>
    <n v="112170"/>
    <n v="25833.19"/>
    <n v="0.23030391370241596"/>
  </r>
  <r>
    <s v="ORD0339"/>
    <d v="2024-05-18T00:00:00"/>
    <s v="CUST0339"/>
    <s v="Priya"/>
    <s v="Female"/>
    <n v="59"/>
    <s v="Delhi"/>
    <x v="0"/>
    <s v="Home Office"/>
    <x v="0"/>
    <s v="UPI"/>
    <s v="Delivered"/>
    <n v="1"/>
    <n v="5212"/>
    <n v="5212"/>
    <n v="1481.6"/>
    <n v="0.28426707597851109"/>
  </r>
  <r>
    <s v="ORD0340"/>
    <d v="2024-04-30T00:00:00"/>
    <s v="CUST0340"/>
    <s v="Priya"/>
    <s v="Male"/>
    <n v="47"/>
    <s v="Chennai"/>
    <x v="1"/>
    <s v="Corporate"/>
    <x v="2"/>
    <s v="Cash on Delivery"/>
    <s v="Cancelled"/>
    <n v="4"/>
    <n v="28930"/>
    <n v="92576"/>
    <n v="19027.599999999999"/>
    <n v="0.20553491185620462"/>
  </r>
  <r>
    <s v="ORD0341"/>
    <d v="2024-11-20T00:00:00"/>
    <s v="CUST0341"/>
    <s v="Neha"/>
    <s v="Female"/>
    <n v="60"/>
    <s v="Bangalore"/>
    <x v="0"/>
    <s v="Corporate"/>
    <x v="4"/>
    <s v="Net Banking"/>
    <s v="Returned"/>
    <n v="4"/>
    <n v="27858"/>
    <n v="105860.4"/>
    <n v="31971.759999999998"/>
    <n v="0.30201812953663504"/>
  </r>
  <r>
    <s v="ORD0342"/>
    <d v="2024-07-22T00:00:00"/>
    <s v="CUST0342"/>
    <s v="Sneha"/>
    <s v="Male"/>
    <n v="53"/>
    <s v="Delhi"/>
    <x v="1"/>
    <s v="Home Office"/>
    <x v="0"/>
    <s v="UPI"/>
    <s v="Pending"/>
    <n v="4"/>
    <n v="3427"/>
    <n v="11651.8"/>
    <n v="3224.14"/>
    <n v="0.27670746150809317"/>
  </r>
  <r>
    <s v="ORD0343"/>
    <d v="2024-09-30T00:00:00"/>
    <s v="CUST0343"/>
    <s v="Priya"/>
    <s v="Male"/>
    <n v="33"/>
    <s v="Hyderabad"/>
    <x v="1"/>
    <s v="Consumer"/>
    <x v="0"/>
    <s v="Debit Card"/>
    <s v="Delivered"/>
    <n v="3"/>
    <n v="18106"/>
    <n v="54318"/>
    <n v="21155.02"/>
    <n v="0.38946610699952133"/>
  </r>
  <r>
    <s v="ORD0344"/>
    <d v="2024-10-14T00:00:00"/>
    <s v="CUST0344"/>
    <s v="Rahul"/>
    <s v="Male"/>
    <n v="40"/>
    <s v="Mumbai"/>
    <x v="0"/>
    <s v="Corporate"/>
    <x v="3"/>
    <s v="Cash on Delivery"/>
    <s v="Delivered"/>
    <n v="1"/>
    <n v="5995"/>
    <n v="5995"/>
    <n v="1571.32"/>
    <n v="0.26210508757297746"/>
  </r>
  <r>
    <s v="ORD0345"/>
    <d v="2024-09-10T00:00:00"/>
    <s v="CUST0345"/>
    <s v="Sneha"/>
    <s v="Male"/>
    <n v="38"/>
    <s v="Hyderabad"/>
    <x v="2"/>
    <s v="Home Office"/>
    <x v="4"/>
    <s v="Cash on Delivery"/>
    <s v="Pending"/>
    <n v="4"/>
    <n v="41853"/>
    <n v="142300.20000000001"/>
    <n v="45182.03"/>
    <n v="0.31751206252696762"/>
  </r>
  <r>
    <s v="ORD0346"/>
    <d v="2024-11-14T00:00:00"/>
    <s v="CUST0346"/>
    <s v="Priya"/>
    <s v="Female"/>
    <n v="56"/>
    <s v="Hyderabad"/>
    <x v="0"/>
    <s v="Home Office"/>
    <x v="0"/>
    <s v="UPI"/>
    <s v="Pending"/>
    <n v="3"/>
    <n v="45944"/>
    <n v="110265.60000000001"/>
    <n v="22440.16"/>
    <n v="0.20351007023042544"/>
  </r>
  <r>
    <s v="ORD0347"/>
    <d v="2024-04-06T00:00:00"/>
    <s v="CUST0347"/>
    <s v="Ananya"/>
    <s v="Female"/>
    <n v="32"/>
    <s v="Pune"/>
    <x v="2"/>
    <s v="Home Office"/>
    <x v="1"/>
    <s v="Credit Card"/>
    <s v="Pending"/>
    <n v="4"/>
    <n v="40497"/>
    <n v="137689.79999999999"/>
    <n v="24442.39"/>
    <n v="0.17751779725150302"/>
  </r>
  <r>
    <s v="ORD0348"/>
    <d v="2024-05-17T00:00:00"/>
    <s v="CUST0348"/>
    <s v="Rohan"/>
    <s v="Male"/>
    <n v="60"/>
    <s v="Hyderabad"/>
    <x v="0"/>
    <s v="Home Office"/>
    <x v="0"/>
    <s v="Net Banking"/>
    <s v="Cancelled"/>
    <n v="3"/>
    <n v="48773"/>
    <n v="117055.2"/>
    <n v="38292.17"/>
    <n v="0.32712916641037731"/>
  </r>
  <r>
    <s v="ORD0349"/>
    <d v="2024-12-12T00:00:00"/>
    <s v="CUST0349"/>
    <s v="Ananya"/>
    <s v="Male"/>
    <n v="29"/>
    <s v="Bangalore"/>
    <x v="0"/>
    <s v="Consumer"/>
    <x v="3"/>
    <s v="Debit Card"/>
    <s v="Pending"/>
    <n v="3"/>
    <n v="40008"/>
    <n v="120024"/>
    <n v="38950.910000000003"/>
    <n v="0.32452601146437382"/>
  </r>
  <r>
    <s v="ORD0350"/>
    <d v="2024-01-21T00:00:00"/>
    <s v="CUST0350"/>
    <s v="Ananya"/>
    <s v="Female"/>
    <n v="40"/>
    <s v="Mumbai"/>
    <x v="0"/>
    <s v="Consumer"/>
    <x v="2"/>
    <s v="Debit Card"/>
    <s v="Returned"/>
    <n v="1"/>
    <n v="21099"/>
    <n v="18989.099999999999"/>
    <n v="6399.99"/>
    <n v="0.33703493056542966"/>
  </r>
  <r>
    <s v="ORD0351"/>
    <d v="2024-06-22T00:00:00"/>
    <s v="CUST0351"/>
    <s v="Rohan"/>
    <s v="Male"/>
    <n v="35"/>
    <s v="Pune"/>
    <x v="1"/>
    <s v="Home Office"/>
    <x v="2"/>
    <s v="UPI"/>
    <s v="Returned"/>
    <n v="5"/>
    <n v="43957"/>
    <n v="208795.75"/>
    <n v="51847.5"/>
    <n v="0.24831683595092333"/>
  </r>
  <r>
    <s v="ORD0352"/>
    <d v="2024-09-03T00:00:00"/>
    <s v="CUST0352"/>
    <s v="Sneha"/>
    <s v="Male"/>
    <n v="33"/>
    <s v="Chennai"/>
    <x v="0"/>
    <s v="Home Office"/>
    <x v="1"/>
    <s v="Cash on Delivery"/>
    <s v="Pending"/>
    <n v="1"/>
    <n v="23174"/>
    <n v="23174"/>
    <n v="8934.09"/>
    <n v="0.38552213687753517"/>
  </r>
  <r>
    <s v="ORD0353"/>
    <d v="2024-07-20T00:00:00"/>
    <s v="CUST0353"/>
    <s v="Neha"/>
    <s v="Male"/>
    <n v="35"/>
    <s v="Mumbai"/>
    <x v="2"/>
    <s v="Corporate"/>
    <x v="2"/>
    <s v="UPI"/>
    <s v="Cancelled"/>
    <n v="5"/>
    <n v="40078"/>
    <n v="200390"/>
    <n v="70222.66"/>
    <n v="0.35042996157492889"/>
  </r>
  <r>
    <s v="ORD0354"/>
    <d v="2024-11-21T00:00:00"/>
    <s v="CUST0354"/>
    <s v="Rohan"/>
    <s v="Male"/>
    <n v="59"/>
    <s v="Chennai"/>
    <x v="1"/>
    <s v="Home Office"/>
    <x v="4"/>
    <s v="Credit Card"/>
    <s v="Pending"/>
    <n v="2"/>
    <n v="5278"/>
    <n v="10556"/>
    <n v="2315.62"/>
    <n v="0.21936528988253126"/>
  </r>
  <r>
    <s v="ORD0355"/>
    <d v="2024-08-14T00:00:00"/>
    <s v="CUST0355"/>
    <s v="Ananya"/>
    <s v="Male"/>
    <n v="39"/>
    <s v="Mumbai"/>
    <x v="0"/>
    <s v="Consumer"/>
    <x v="3"/>
    <s v="Debit Card"/>
    <s v="Pending"/>
    <n v="4"/>
    <n v="6508"/>
    <n v="22127.200000000001"/>
    <n v="5582.58"/>
    <n v="0.25229491304819407"/>
  </r>
  <r>
    <s v="ORD0356"/>
    <d v="2024-04-19T00:00:00"/>
    <s v="CUST0356"/>
    <s v="Rahul"/>
    <s v="Male"/>
    <n v="21"/>
    <s v="Delhi"/>
    <x v="0"/>
    <s v="Home Office"/>
    <x v="1"/>
    <s v="UPI"/>
    <s v="Delivered"/>
    <n v="2"/>
    <n v="22325"/>
    <n v="42417.5"/>
    <n v="8606.6"/>
    <n v="0.20290210408439913"/>
  </r>
  <r>
    <s v="ORD0357"/>
    <d v="2024-07-23T00:00:00"/>
    <s v="CUST0357"/>
    <s v="Amit"/>
    <s v="Male"/>
    <n v="19"/>
    <s v="Chennai"/>
    <x v="1"/>
    <s v="Corporate"/>
    <x v="0"/>
    <s v="Credit Card"/>
    <s v="Delivered"/>
    <n v="3"/>
    <n v="5414"/>
    <n v="12993.6"/>
    <n v="3689.65"/>
    <n v="0.28395902598202194"/>
  </r>
  <r>
    <s v="ORD0358"/>
    <d v="2024-03-23T00:00:00"/>
    <s v="CUST0358"/>
    <s v="Ananya"/>
    <s v="Male"/>
    <n v="31"/>
    <s v="Mumbai"/>
    <x v="0"/>
    <s v="Consumer"/>
    <x v="0"/>
    <s v="Net Banking"/>
    <s v="Delivered"/>
    <n v="5"/>
    <n v="38311"/>
    <n v="191555"/>
    <n v="45972.33"/>
    <n v="0.23999545822348672"/>
  </r>
  <r>
    <s v="ORD0359"/>
    <d v="2024-12-08T00:00:00"/>
    <s v="CUST0359"/>
    <s v="Sneha"/>
    <s v="Female"/>
    <n v="20"/>
    <s v="Bangalore"/>
    <x v="0"/>
    <s v="Corporate"/>
    <x v="3"/>
    <s v="Net Banking"/>
    <s v="Pending"/>
    <n v="1"/>
    <n v="13442"/>
    <n v="12769.9"/>
    <n v="3234.56"/>
    <n v="0.25329564052968306"/>
  </r>
  <r>
    <s v="ORD0360"/>
    <d v="2024-05-25T00:00:00"/>
    <s v="CUST0360"/>
    <s v="Ananya"/>
    <s v="Female"/>
    <n v="50"/>
    <s v="Pune"/>
    <x v="2"/>
    <s v="Corporate"/>
    <x v="1"/>
    <s v="UPI"/>
    <s v="Returned"/>
    <n v="5"/>
    <n v="17576"/>
    <n v="87880"/>
    <n v="13699.89"/>
    <n v="0.15589314974965862"/>
  </r>
  <r>
    <s v="ORD0361"/>
    <d v="2024-02-14T00:00:00"/>
    <s v="CUST0361"/>
    <s v="Ananya"/>
    <s v="Male"/>
    <n v="56"/>
    <s v="Bangalore"/>
    <x v="1"/>
    <s v="Home Office"/>
    <x v="3"/>
    <s v="Net Banking"/>
    <s v="Returned"/>
    <n v="3"/>
    <n v="48117"/>
    <n v="115480.8"/>
    <n v="34596.22"/>
    <n v="0.29958417329980397"/>
  </r>
  <r>
    <s v="ORD0362"/>
    <d v="2024-02-03T00:00:00"/>
    <s v="CUST0362"/>
    <s v="Aarav"/>
    <s v="Female"/>
    <n v="53"/>
    <s v="Delhi"/>
    <x v="0"/>
    <s v="Consumer"/>
    <x v="2"/>
    <s v="Debit Card"/>
    <s v="Returned"/>
    <n v="3"/>
    <n v="28153"/>
    <n v="71790.149999999994"/>
    <n v="25300.48"/>
    <n v="0.35242272094430782"/>
  </r>
  <r>
    <s v="ORD0363"/>
    <d v="2024-02-26T00:00:00"/>
    <s v="CUST0363"/>
    <s v="Neha"/>
    <s v="Male"/>
    <n v="39"/>
    <s v="Delhi"/>
    <x v="0"/>
    <s v="Corporate"/>
    <x v="0"/>
    <s v="Credit Card"/>
    <s v="Pending"/>
    <n v="5"/>
    <n v="47560"/>
    <n v="214020"/>
    <n v="79165.429999999993"/>
    <n v="0.36989734604242591"/>
  </r>
  <r>
    <s v="ORD0364"/>
    <d v="2024-03-26T00:00:00"/>
    <s v="CUST0364"/>
    <s v="Sneha"/>
    <s v="Female"/>
    <n v="42"/>
    <s v="Chennai"/>
    <x v="0"/>
    <s v="Corporate"/>
    <x v="0"/>
    <s v="Cash on Delivery"/>
    <s v="Delivered"/>
    <n v="5"/>
    <n v="46941"/>
    <n v="187764"/>
    <n v="29932.17"/>
    <n v="0.15941378539017062"/>
  </r>
  <r>
    <s v="ORD0365"/>
    <d v="2024-04-17T00:00:00"/>
    <s v="CUST0365"/>
    <s v="Pooja"/>
    <s v="Male"/>
    <n v="43"/>
    <s v="Chennai"/>
    <x v="0"/>
    <s v="Corporate"/>
    <x v="1"/>
    <s v="UPI"/>
    <s v="Cancelled"/>
    <n v="4"/>
    <n v="31070"/>
    <n v="99424"/>
    <n v="21482.35"/>
    <n v="0.21606805197940135"/>
  </r>
  <r>
    <s v="ORD0366"/>
    <d v="2024-03-20T00:00:00"/>
    <s v="CUST0366"/>
    <s v="Amit"/>
    <s v="Male"/>
    <n v="55"/>
    <s v="Pune"/>
    <x v="0"/>
    <s v="Corporate"/>
    <x v="4"/>
    <s v="Credit Card"/>
    <s v="Delivered"/>
    <n v="3"/>
    <n v="20287"/>
    <n v="51731.85"/>
    <n v="12413.89"/>
    <n v="0.23996609438865998"/>
  </r>
  <r>
    <s v="ORD0367"/>
    <d v="2024-05-20T00:00:00"/>
    <s v="CUST0367"/>
    <s v="Ananya"/>
    <s v="Female"/>
    <n v="43"/>
    <s v="Hyderabad"/>
    <x v="0"/>
    <s v="Corporate"/>
    <x v="2"/>
    <s v="Cash on Delivery"/>
    <s v="Cancelled"/>
    <n v="5"/>
    <n v="37464"/>
    <n v="168588"/>
    <n v="53658.13"/>
    <n v="0.31827965216978671"/>
  </r>
  <r>
    <s v="ORD0368"/>
    <d v="2024-06-06T00:00:00"/>
    <s v="CUST0368"/>
    <s v="Rahul"/>
    <s v="Female"/>
    <n v="51"/>
    <s v="Bangalore"/>
    <x v="1"/>
    <s v="Home Office"/>
    <x v="1"/>
    <s v="Debit Card"/>
    <s v="Cancelled"/>
    <n v="2"/>
    <n v="23703"/>
    <n v="40295.1"/>
    <n v="11604.04"/>
    <n v="0.28797645371273434"/>
  </r>
  <r>
    <s v="ORD0369"/>
    <d v="2024-02-12T00:00:00"/>
    <s v="CUST0369"/>
    <s v="Pooja"/>
    <s v="Female"/>
    <n v="46"/>
    <s v="Bangalore"/>
    <x v="2"/>
    <s v="Consumer"/>
    <x v="4"/>
    <s v="Cash on Delivery"/>
    <s v="Pending"/>
    <n v="5"/>
    <n v="45895"/>
    <n v="195053.75"/>
    <n v="45517.83"/>
    <n v="0.23336044551822255"/>
  </r>
  <r>
    <s v="ORD0370"/>
    <d v="2024-05-11T00:00:00"/>
    <s v="CUST0370"/>
    <s v="Amit"/>
    <s v="Male"/>
    <n v="56"/>
    <s v="Delhi"/>
    <x v="0"/>
    <s v="Consumer"/>
    <x v="3"/>
    <s v="Debit Card"/>
    <s v="Pending"/>
    <n v="2"/>
    <n v="34001"/>
    <n v="57801.7"/>
    <n v="19358.93"/>
    <n v="0.33491973419466903"/>
  </r>
  <r>
    <s v="ORD0371"/>
    <d v="2024-10-02T00:00:00"/>
    <s v="CUST0371"/>
    <s v="Sneha"/>
    <s v="Female"/>
    <n v="49"/>
    <s v="Delhi"/>
    <x v="0"/>
    <s v="Corporate"/>
    <x v="4"/>
    <s v="Debit Card"/>
    <s v="Cancelled"/>
    <n v="1"/>
    <n v="32683"/>
    <n v="31048.85"/>
    <n v="9318.8700000000008"/>
    <n v="0.30013575382018981"/>
  </r>
  <r>
    <s v="ORD0372"/>
    <d v="2024-05-26T00:00:00"/>
    <s v="CUST0372"/>
    <s v="Rohan"/>
    <s v="Male"/>
    <n v="54"/>
    <s v="Delhi"/>
    <x v="2"/>
    <s v="Corporate"/>
    <x v="3"/>
    <s v="Credit Card"/>
    <s v="Pending"/>
    <n v="2"/>
    <n v="31528"/>
    <n v="53597.599999999999"/>
    <n v="15468.94"/>
    <n v="0.28861254981566342"/>
  </r>
  <r>
    <s v="ORD0373"/>
    <d v="2024-02-04T00:00:00"/>
    <s v="CUST0373"/>
    <s v="Aarav"/>
    <s v="Female"/>
    <n v="44"/>
    <s v="Mumbai"/>
    <x v="0"/>
    <s v="Corporate"/>
    <x v="3"/>
    <s v="UPI"/>
    <s v="Delivered"/>
    <n v="4"/>
    <n v="11303"/>
    <n v="42951.4"/>
    <n v="10122.709999999999"/>
    <n v="0.23567823167580099"/>
  </r>
  <r>
    <s v="ORD0374"/>
    <d v="2024-03-07T00:00:00"/>
    <s v="CUST0374"/>
    <s v="Priya"/>
    <s v="Male"/>
    <n v="40"/>
    <s v="Delhi"/>
    <x v="1"/>
    <s v="Corporate"/>
    <x v="2"/>
    <s v="UPI"/>
    <s v="Delivered"/>
    <n v="2"/>
    <n v="31968"/>
    <n v="63936"/>
    <n v="19309.68"/>
    <n v="0.30201576576576578"/>
  </r>
  <r>
    <s v="ORD0375"/>
    <d v="2024-04-30T00:00:00"/>
    <s v="CUST0375"/>
    <s v="Vikram"/>
    <s v="Female"/>
    <n v="39"/>
    <s v="Chennai"/>
    <x v="1"/>
    <s v="Home Office"/>
    <x v="1"/>
    <s v="UPI"/>
    <s v="Cancelled"/>
    <n v="2"/>
    <n v="33707"/>
    <n v="53931.199999999997"/>
    <n v="11009.23"/>
    <n v="0.20413471237428427"/>
  </r>
  <r>
    <s v="ORD0376"/>
    <d v="2024-08-18T00:00:00"/>
    <s v="CUST0376"/>
    <s v="Rohan"/>
    <s v="Male"/>
    <n v="38"/>
    <s v="Delhi"/>
    <x v="1"/>
    <s v="Consumer"/>
    <x v="0"/>
    <s v="Credit Card"/>
    <s v="Delivered"/>
    <n v="1"/>
    <n v="44671"/>
    <n v="37970.35"/>
    <n v="11239.33"/>
    <n v="0.29600280218644287"/>
  </r>
  <r>
    <s v="ORD0377"/>
    <d v="2024-03-26T00:00:00"/>
    <s v="CUST0377"/>
    <s v="Sneha"/>
    <s v="Female"/>
    <n v="51"/>
    <s v="Mumbai"/>
    <x v="2"/>
    <s v="Corporate"/>
    <x v="1"/>
    <s v="UPI"/>
    <s v="Returned"/>
    <n v="2"/>
    <n v="31719"/>
    <n v="57094.2"/>
    <n v="14751.1"/>
    <n v="0.25836424715645373"/>
  </r>
  <r>
    <s v="ORD0378"/>
    <d v="2024-08-16T00:00:00"/>
    <s v="CUST0378"/>
    <s v="Aarav"/>
    <s v="Female"/>
    <n v="58"/>
    <s v="Delhi"/>
    <x v="1"/>
    <s v="Corporate"/>
    <x v="2"/>
    <s v="UPI"/>
    <s v="Cancelled"/>
    <n v="4"/>
    <n v="36975"/>
    <n v="140505"/>
    <n v="21211.94"/>
    <n v="0.15096928934913348"/>
  </r>
  <r>
    <s v="ORD0379"/>
    <d v="2024-04-05T00:00:00"/>
    <s v="CUST0379"/>
    <s v="Rahul"/>
    <s v="Female"/>
    <n v="49"/>
    <s v="Delhi"/>
    <x v="0"/>
    <s v="Home Office"/>
    <x v="2"/>
    <s v="Net Banking"/>
    <s v="Returned"/>
    <n v="2"/>
    <n v="3236"/>
    <n v="5177.6000000000004"/>
    <n v="1697.39"/>
    <n v="0.32783335908529049"/>
  </r>
  <r>
    <s v="ORD0380"/>
    <d v="2024-07-16T00:00:00"/>
    <s v="CUST0380"/>
    <s v="Amit"/>
    <s v="Male"/>
    <n v="46"/>
    <s v="Chennai"/>
    <x v="0"/>
    <s v="Consumer"/>
    <x v="3"/>
    <s v="Net Banking"/>
    <s v="Pending"/>
    <n v="5"/>
    <n v="14767"/>
    <n v="73835"/>
    <n v="27156.49"/>
    <n v="0.36779968849461642"/>
  </r>
  <r>
    <s v="ORD0381"/>
    <d v="2024-04-22T00:00:00"/>
    <s v="CUST0381"/>
    <s v="Pooja"/>
    <s v="Male"/>
    <n v="39"/>
    <s v="Pune"/>
    <x v="2"/>
    <s v="Corporate"/>
    <x v="2"/>
    <s v="Cash on Delivery"/>
    <s v="Delivered"/>
    <n v="1"/>
    <n v="47855"/>
    <n v="43069.5"/>
    <n v="11030.44"/>
    <n v="0.25610791859668675"/>
  </r>
  <r>
    <s v="ORD0382"/>
    <d v="2024-10-16T00:00:00"/>
    <s v="CUST0382"/>
    <s v="Pooja"/>
    <s v="Male"/>
    <n v="55"/>
    <s v="Bangalore"/>
    <x v="0"/>
    <s v="Corporate"/>
    <x v="4"/>
    <s v="Net Banking"/>
    <s v="Cancelled"/>
    <n v="4"/>
    <n v="22368"/>
    <n v="71577.600000000006"/>
    <n v="24434.05"/>
    <n v="0.34136447715486407"/>
  </r>
  <r>
    <s v="ORD0383"/>
    <d v="2024-06-19T00:00:00"/>
    <s v="CUST0383"/>
    <s v="Vikram"/>
    <s v="Male"/>
    <n v="37"/>
    <s v="Delhi"/>
    <x v="2"/>
    <s v="Home Office"/>
    <x v="4"/>
    <s v="UPI"/>
    <s v="Cancelled"/>
    <n v="1"/>
    <n v="31572"/>
    <n v="25257.599999999999"/>
    <n v="4642.88"/>
    <n v="0.18382110731027493"/>
  </r>
  <r>
    <s v="ORD0384"/>
    <d v="2024-06-23T00:00:00"/>
    <s v="CUST0384"/>
    <s v="Priya"/>
    <s v="Female"/>
    <n v="50"/>
    <s v="Hyderabad"/>
    <x v="2"/>
    <s v="Consumer"/>
    <x v="1"/>
    <s v="Debit Card"/>
    <s v="Pending"/>
    <n v="3"/>
    <n v="25668"/>
    <n v="65453.4"/>
    <n v="14083.75"/>
    <n v="0.21517216829072286"/>
  </r>
  <r>
    <s v="ORD0385"/>
    <d v="2024-04-14T00:00:00"/>
    <s v="CUST0385"/>
    <s v="Aarav"/>
    <s v="Male"/>
    <n v="54"/>
    <s v="Pune"/>
    <x v="0"/>
    <s v="Consumer"/>
    <x v="1"/>
    <s v="UPI"/>
    <s v="Cancelled"/>
    <n v="2"/>
    <n v="11355"/>
    <n v="20439"/>
    <n v="7461.49"/>
    <n v="0.36506140222124367"/>
  </r>
  <r>
    <s v="ORD0386"/>
    <d v="2024-09-19T00:00:00"/>
    <s v="CUST0386"/>
    <s v="Aarav"/>
    <s v="Female"/>
    <n v="40"/>
    <s v="Pune"/>
    <x v="0"/>
    <s v="Home Office"/>
    <x v="2"/>
    <s v="Debit Card"/>
    <s v="Returned"/>
    <n v="4"/>
    <n v="8208"/>
    <n v="27907.200000000001"/>
    <n v="7526.32"/>
    <n v="0.26969097580552687"/>
  </r>
  <r>
    <s v="ORD0387"/>
    <d v="2024-08-31T00:00:00"/>
    <s v="CUST0387"/>
    <s v="Pooja"/>
    <s v="Male"/>
    <n v="24"/>
    <s v="Bangalore"/>
    <x v="0"/>
    <s v="Consumer"/>
    <x v="1"/>
    <s v="Net Banking"/>
    <s v="Returned"/>
    <n v="5"/>
    <n v="5648"/>
    <n v="28240"/>
    <n v="4856.4399999999996"/>
    <n v="0.17197025495750706"/>
  </r>
  <r>
    <s v="ORD0388"/>
    <d v="2024-01-17T00:00:00"/>
    <s v="CUST0388"/>
    <s v="Rohan"/>
    <s v="Female"/>
    <n v="34"/>
    <s v="Pune"/>
    <x v="0"/>
    <s v="Home Office"/>
    <x v="0"/>
    <s v="Cash on Delivery"/>
    <s v="Delivered"/>
    <n v="3"/>
    <n v="28913"/>
    <n v="73728.149999999994"/>
    <n v="12251.19"/>
    <n v="0.1661670610207906"/>
  </r>
  <r>
    <s v="ORD0389"/>
    <d v="2024-06-05T00:00:00"/>
    <s v="CUST0389"/>
    <s v="Pooja"/>
    <s v="Male"/>
    <n v="49"/>
    <s v="Pune"/>
    <x v="0"/>
    <s v="Corporate"/>
    <x v="1"/>
    <s v="Cash on Delivery"/>
    <s v="Pending"/>
    <n v="4"/>
    <n v="33443"/>
    <n v="127083.4"/>
    <n v="44949.87"/>
    <n v="0.35370370953248026"/>
  </r>
  <r>
    <s v="ORD0390"/>
    <d v="2024-02-01T00:00:00"/>
    <s v="CUST0390"/>
    <s v="Sneha"/>
    <s v="Male"/>
    <n v="49"/>
    <s v="Delhi"/>
    <x v="0"/>
    <s v="Home Office"/>
    <x v="1"/>
    <s v="Credit Card"/>
    <s v="Pending"/>
    <n v="5"/>
    <n v="26721"/>
    <n v="113564.25"/>
    <n v="42961.18"/>
    <n v="0.3782984521977647"/>
  </r>
  <r>
    <s v="ORD0391"/>
    <d v="2024-08-03T00:00:00"/>
    <s v="CUST0391"/>
    <s v="Rohan"/>
    <s v="Female"/>
    <n v="35"/>
    <s v="Bangalore"/>
    <x v="1"/>
    <s v="Home Office"/>
    <x v="4"/>
    <s v="Credit Card"/>
    <s v="Cancelled"/>
    <n v="4"/>
    <n v="16526"/>
    <n v="66104"/>
    <n v="11492.57"/>
    <n v="0.17385589374319255"/>
  </r>
  <r>
    <s v="ORD0392"/>
    <d v="2024-07-02T00:00:00"/>
    <s v="CUST0392"/>
    <s v="Priya"/>
    <s v="Male"/>
    <n v="22"/>
    <s v="Mumbai"/>
    <x v="0"/>
    <s v="Consumer"/>
    <x v="2"/>
    <s v="Net Banking"/>
    <s v="Cancelled"/>
    <n v="1"/>
    <n v="25961"/>
    <n v="20768.8"/>
    <n v="4546.1899999999996"/>
    <n v="0.21889516967759329"/>
  </r>
  <r>
    <s v="ORD0393"/>
    <d v="2024-11-22T00:00:00"/>
    <s v="CUST0393"/>
    <s v="Pooja"/>
    <s v="Male"/>
    <n v="55"/>
    <s v="Delhi"/>
    <x v="0"/>
    <s v="Consumer"/>
    <x v="4"/>
    <s v="Cash on Delivery"/>
    <s v="Cancelled"/>
    <n v="4"/>
    <n v="11518"/>
    <n v="43768.4"/>
    <n v="11190.39"/>
    <n v="0.25567281417643778"/>
  </r>
  <r>
    <s v="ORD0394"/>
    <d v="2024-04-18T00:00:00"/>
    <s v="CUST0394"/>
    <s v="Ananya"/>
    <s v="Female"/>
    <n v="36"/>
    <s v="Bangalore"/>
    <x v="0"/>
    <s v="Corporate"/>
    <x v="1"/>
    <s v="UPI"/>
    <s v="Pending"/>
    <n v="1"/>
    <n v="33096"/>
    <n v="33096"/>
    <n v="11804.81"/>
    <n v="0.35668388929175732"/>
  </r>
  <r>
    <s v="ORD0395"/>
    <d v="2024-09-04T00:00:00"/>
    <s v="CUST0395"/>
    <s v="Ananya"/>
    <s v="Male"/>
    <n v="50"/>
    <s v="Delhi"/>
    <x v="0"/>
    <s v="Corporate"/>
    <x v="3"/>
    <s v="UPI"/>
    <s v="Delivered"/>
    <n v="4"/>
    <n v="12988"/>
    <n v="44159.199999999997"/>
    <n v="7512.77"/>
    <n v="0.17012921429736047"/>
  </r>
  <r>
    <s v="ORD0396"/>
    <d v="2024-12-07T00:00:00"/>
    <s v="CUST0396"/>
    <s v="Vikram"/>
    <s v="Male"/>
    <n v="41"/>
    <s v="Delhi"/>
    <x v="0"/>
    <s v="Corporate"/>
    <x v="0"/>
    <s v="Debit Card"/>
    <s v="Pending"/>
    <n v="3"/>
    <n v="16451"/>
    <n v="49353"/>
    <n v="13807.29"/>
    <n v="0.27976597167345452"/>
  </r>
  <r>
    <s v="ORD0397"/>
    <d v="2024-05-29T00:00:00"/>
    <s v="CUST0397"/>
    <s v="Vikram"/>
    <s v="Male"/>
    <n v="60"/>
    <s v="Mumbai"/>
    <x v="0"/>
    <s v="Corporate"/>
    <x v="3"/>
    <s v="UPI"/>
    <s v="Pending"/>
    <n v="3"/>
    <n v="49182"/>
    <n v="125414.1"/>
    <n v="44051.66"/>
    <n v="0.35124966012593484"/>
  </r>
  <r>
    <s v="ORD0398"/>
    <d v="2024-07-27T00:00:00"/>
    <s v="CUST0398"/>
    <s v="Sneha"/>
    <s v="Female"/>
    <n v="31"/>
    <s v="Chennai"/>
    <x v="2"/>
    <s v="Corporate"/>
    <x v="1"/>
    <s v="UPI"/>
    <s v="Cancelled"/>
    <n v="3"/>
    <n v="22122"/>
    <n v="53092.800000000003"/>
    <n v="20345.75"/>
    <n v="0.38321109453635893"/>
  </r>
  <r>
    <s v="ORD0399"/>
    <d v="2024-08-14T00:00:00"/>
    <s v="CUST0399"/>
    <s v="Aarav"/>
    <s v="Female"/>
    <n v="44"/>
    <s v="Chennai"/>
    <x v="0"/>
    <s v="Corporate"/>
    <x v="2"/>
    <s v="Cash on Delivery"/>
    <s v="Cancelled"/>
    <n v="4"/>
    <n v="25041"/>
    <n v="100164"/>
    <n v="18205.62"/>
    <n v="0.18175811668863062"/>
  </r>
  <r>
    <s v="ORD0400"/>
    <d v="2024-03-30T00:00:00"/>
    <s v="CUST0400"/>
    <s v="Vikram"/>
    <s v="Male"/>
    <n v="54"/>
    <s v="Hyderabad"/>
    <x v="0"/>
    <s v="Consumer"/>
    <x v="0"/>
    <s v="Credit Card"/>
    <s v="Returned"/>
    <n v="2"/>
    <n v="30167"/>
    <n v="60334"/>
    <n v="13304.35"/>
    <n v="0.22051165180495244"/>
  </r>
  <r>
    <s v="ORD0401"/>
    <d v="2024-09-25T00:00:00"/>
    <s v="CUST0401"/>
    <s v="Amit"/>
    <s v="Female"/>
    <n v="30"/>
    <s v="Delhi"/>
    <x v="0"/>
    <s v="Corporate"/>
    <x v="4"/>
    <s v="Credit Card"/>
    <s v="Cancelled"/>
    <n v="2"/>
    <n v="24664"/>
    <n v="44395.199999999997"/>
    <n v="10223.51"/>
    <n v="0.23028412981583596"/>
  </r>
  <r>
    <s v="ORD0402"/>
    <d v="2024-12-18T00:00:00"/>
    <s v="CUST0402"/>
    <s v="Aarav"/>
    <s v="Male"/>
    <n v="53"/>
    <s v="Pune"/>
    <x v="0"/>
    <s v="Consumer"/>
    <x v="0"/>
    <s v="Credit Card"/>
    <s v="Returned"/>
    <n v="5"/>
    <n v="3648"/>
    <n v="15504"/>
    <n v="2801.39"/>
    <n v="0.18068820949432404"/>
  </r>
  <r>
    <s v="ORD0403"/>
    <d v="2024-06-11T00:00:00"/>
    <s v="CUST0403"/>
    <s v="Sneha"/>
    <s v="Male"/>
    <n v="20"/>
    <s v="Delhi"/>
    <x v="0"/>
    <s v="Home Office"/>
    <x v="1"/>
    <s v="Credit Card"/>
    <s v="Returned"/>
    <n v="1"/>
    <n v="28833"/>
    <n v="24508.05"/>
    <n v="4663.8500000000004"/>
    <n v="0.19029869777481279"/>
  </r>
  <r>
    <s v="ORD0404"/>
    <d v="2024-12-15T00:00:00"/>
    <s v="CUST0404"/>
    <s v="Sneha"/>
    <s v="Female"/>
    <n v="22"/>
    <s v="Pune"/>
    <x v="1"/>
    <s v="Consumer"/>
    <x v="4"/>
    <s v="Net Banking"/>
    <s v="Cancelled"/>
    <n v="5"/>
    <n v="26281"/>
    <n v="105124"/>
    <n v="16929.580000000002"/>
    <n v="0.16104391004908492"/>
  </r>
  <r>
    <s v="ORD0405"/>
    <d v="2024-05-05T00:00:00"/>
    <s v="CUST0405"/>
    <s v="Pooja"/>
    <s v="Female"/>
    <n v="18"/>
    <s v="Delhi"/>
    <x v="0"/>
    <s v="Corporate"/>
    <x v="0"/>
    <s v="Cash on Delivery"/>
    <s v="Returned"/>
    <n v="2"/>
    <n v="27395"/>
    <n v="49311"/>
    <n v="13788.18"/>
    <n v="0.27961671837926627"/>
  </r>
  <r>
    <s v="ORD0406"/>
    <d v="2024-04-28T00:00:00"/>
    <s v="CUST0406"/>
    <s v="Ananya"/>
    <s v="Female"/>
    <n v="44"/>
    <s v="Mumbai"/>
    <x v="2"/>
    <s v="Consumer"/>
    <x v="4"/>
    <s v="Debit Card"/>
    <s v="Cancelled"/>
    <n v="5"/>
    <n v="7951"/>
    <n v="37767.25"/>
    <n v="7573.42"/>
    <n v="0.20052876500142319"/>
  </r>
  <r>
    <s v="ORD0407"/>
    <d v="2024-09-29T00:00:00"/>
    <s v="CUST0407"/>
    <s v="Rohan"/>
    <s v="Female"/>
    <n v="53"/>
    <s v="Bangalore"/>
    <x v="2"/>
    <s v="Home Office"/>
    <x v="4"/>
    <s v="Cash on Delivery"/>
    <s v="Delivered"/>
    <n v="4"/>
    <n v="9633"/>
    <n v="32752.2"/>
    <n v="9626.16"/>
    <n v="0.29390880612600068"/>
  </r>
  <r>
    <s v="ORD0408"/>
    <d v="2024-10-06T00:00:00"/>
    <s v="CUST0408"/>
    <s v="Pooja"/>
    <s v="Male"/>
    <n v="40"/>
    <s v="Hyderabad"/>
    <x v="0"/>
    <s v="Home Office"/>
    <x v="0"/>
    <s v="Net Banking"/>
    <s v="Pending"/>
    <n v="2"/>
    <n v="27756"/>
    <n v="49960.800000000003"/>
    <n v="18639.27"/>
    <n v="0.37307789306816541"/>
  </r>
  <r>
    <s v="ORD0409"/>
    <d v="2024-05-31T00:00:00"/>
    <s v="CUST0409"/>
    <s v="Aarav"/>
    <s v="Female"/>
    <n v="40"/>
    <s v="Mumbai"/>
    <x v="2"/>
    <s v="Consumer"/>
    <x v="1"/>
    <s v="UPI"/>
    <s v="Cancelled"/>
    <n v="5"/>
    <n v="42921"/>
    <n v="193144.5"/>
    <n v="61045.15"/>
    <n v="0.31605947878401924"/>
  </r>
  <r>
    <s v="ORD0410"/>
    <d v="2024-01-13T00:00:00"/>
    <s v="CUST0410"/>
    <s v="Amit"/>
    <s v="Male"/>
    <n v="39"/>
    <s v="Pune"/>
    <x v="0"/>
    <s v="Consumer"/>
    <x v="1"/>
    <s v="Debit Card"/>
    <s v="Returned"/>
    <n v="2"/>
    <n v="25176"/>
    <n v="50352"/>
    <n v="13484.46"/>
    <n v="0.26780386081982838"/>
  </r>
  <r>
    <s v="ORD0411"/>
    <d v="2024-12-21T00:00:00"/>
    <s v="CUST0411"/>
    <s v="Priya"/>
    <s v="Male"/>
    <n v="35"/>
    <s v="Mumbai"/>
    <x v="2"/>
    <s v="Corporate"/>
    <x v="0"/>
    <s v="Net Banking"/>
    <s v="Returned"/>
    <n v="5"/>
    <n v="49549"/>
    <n v="210583.25"/>
    <n v="45975.69"/>
    <n v="0.2183254841018932"/>
  </r>
  <r>
    <s v="ORD0412"/>
    <d v="2024-03-22T00:00:00"/>
    <s v="CUST0412"/>
    <s v="Rahul"/>
    <s v="Male"/>
    <n v="29"/>
    <s v="Bangalore"/>
    <x v="2"/>
    <s v="Corporate"/>
    <x v="0"/>
    <s v="Credit Card"/>
    <s v="Cancelled"/>
    <n v="1"/>
    <n v="37724"/>
    <n v="32065.4"/>
    <n v="8131.92"/>
    <n v="0.25360419642355936"/>
  </r>
  <r>
    <s v="ORD0413"/>
    <d v="2024-11-22T00:00:00"/>
    <s v="CUST0413"/>
    <s v="Amit"/>
    <s v="Male"/>
    <n v="32"/>
    <s v="Pune"/>
    <x v="2"/>
    <s v="Consumer"/>
    <x v="4"/>
    <s v="Cash on Delivery"/>
    <s v="Cancelled"/>
    <n v="3"/>
    <n v="4416"/>
    <n v="11260.8"/>
    <n v="2334.5100000000002"/>
    <n v="0.20731297953964198"/>
  </r>
  <r>
    <s v="ORD0414"/>
    <d v="2024-06-21T00:00:00"/>
    <s v="CUST0414"/>
    <s v="Rohan"/>
    <s v="Female"/>
    <n v="26"/>
    <s v="Chennai"/>
    <x v="0"/>
    <s v="Consumer"/>
    <x v="0"/>
    <s v="UPI"/>
    <s v="Returned"/>
    <n v="2"/>
    <n v="10831"/>
    <n v="20578.900000000001"/>
    <n v="5092.3900000000003"/>
    <n v="0.24745686115390036"/>
  </r>
  <r>
    <s v="ORD0415"/>
    <d v="2024-06-06T00:00:00"/>
    <s v="CUST0415"/>
    <s v="Priya"/>
    <s v="Female"/>
    <n v="20"/>
    <s v="Pune"/>
    <x v="0"/>
    <s v="Home Office"/>
    <x v="1"/>
    <s v="Credit Card"/>
    <s v="Delivered"/>
    <n v="1"/>
    <n v="26970"/>
    <n v="21576"/>
    <n v="7450.87"/>
    <n v="0.34533138672599184"/>
  </r>
  <r>
    <s v="ORD0416"/>
    <d v="2024-06-23T00:00:00"/>
    <s v="CUST0416"/>
    <s v="Vikram"/>
    <s v="Male"/>
    <n v="57"/>
    <s v="Mumbai"/>
    <x v="0"/>
    <s v="Corporate"/>
    <x v="2"/>
    <s v="Net Banking"/>
    <s v="Pending"/>
    <n v="2"/>
    <n v="38506"/>
    <n v="61609.599999999999"/>
    <n v="22711.06"/>
    <n v="0.36862859034955592"/>
  </r>
  <r>
    <s v="ORD0417"/>
    <d v="2024-03-17T00:00:00"/>
    <s v="CUST0417"/>
    <s v="Rohan"/>
    <s v="Male"/>
    <n v="29"/>
    <s v="Bangalore"/>
    <x v="1"/>
    <s v="Corporate"/>
    <x v="2"/>
    <s v="Debit Card"/>
    <s v="Delivered"/>
    <n v="3"/>
    <n v="20207"/>
    <n v="48496.800000000003"/>
    <n v="18665.189999999999"/>
    <n v="0.38487467214331661"/>
  </r>
  <r>
    <s v="ORD0418"/>
    <d v="2024-02-01T00:00:00"/>
    <s v="CUST0418"/>
    <s v="Priya"/>
    <s v="Female"/>
    <n v="57"/>
    <s v="Delhi"/>
    <x v="0"/>
    <s v="Consumer"/>
    <x v="2"/>
    <s v="Credit Card"/>
    <s v="Pending"/>
    <n v="2"/>
    <n v="26391"/>
    <n v="44864.7"/>
    <n v="12213.74"/>
    <n v="0.27223496423691679"/>
  </r>
  <r>
    <s v="ORD0419"/>
    <d v="2024-12-31T00:00:00"/>
    <s v="CUST0419"/>
    <s v="Neha"/>
    <s v="Female"/>
    <n v="22"/>
    <s v="Pune"/>
    <x v="1"/>
    <s v="Home Office"/>
    <x v="3"/>
    <s v="Credit Card"/>
    <s v="Delivered"/>
    <n v="3"/>
    <n v="39089"/>
    <n v="99676.95"/>
    <n v="38413.01"/>
    <n v="0.38537505411230982"/>
  </r>
  <r>
    <s v="ORD0420"/>
    <d v="2024-03-11T00:00:00"/>
    <s v="CUST0420"/>
    <s v="Pooja"/>
    <s v="Female"/>
    <n v="46"/>
    <s v="Mumbai"/>
    <x v="0"/>
    <s v="Consumer"/>
    <x v="1"/>
    <s v="Debit Card"/>
    <s v="Cancelled"/>
    <n v="1"/>
    <n v="43701"/>
    <n v="34960.800000000003"/>
    <n v="6186.01"/>
    <n v="0.17694131713233105"/>
  </r>
  <r>
    <s v="ORD0421"/>
    <d v="2024-11-28T00:00:00"/>
    <s v="CUST0421"/>
    <s v="Pooja"/>
    <s v="Female"/>
    <n v="38"/>
    <s v="Pune"/>
    <x v="0"/>
    <s v="Consumer"/>
    <x v="0"/>
    <s v="Credit Card"/>
    <s v="Pending"/>
    <n v="3"/>
    <n v="44797"/>
    <n v="114232.35"/>
    <n v="17277.810000000001"/>
    <n v="0.15125146247976165"/>
  </r>
  <r>
    <s v="ORD0422"/>
    <d v="2024-07-22T00:00:00"/>
    <s v="CUST0422"/>
    <s v="Rohan"/>
    <s v="Female"/>
    <n v="30"/>
    <s v="Bangalore"/>
    <x v="2"/>
    <s v="Consumer"/>
    <x v="2"/>
    <s v="Credit Card"/>
    <s v="Returned"/>
    <n v="1"/>
    <n v="32735"/>
    <n v="32735"/>
    <n v="7811.65"/>
    <n v="0.23863296166182985"/>
  </r>
  <r>
    <s v="ORD0423"/>
    <d v="2024-04-15T00:00:00"/>
    <s v="CUST0423"/>
    <s v="Rahul"/>
    <s v="Female"/>
    <n v="44"/>
    <s v="Hyderabad"/>
    <x v="2"/>
    <s v="Corporate"/>
    <x v="4"/>
    <s v="Debit Card"/>
    <s v="Returned"/>
    <n v="4"/>
    <n v="17171"/>
    <n v="68684"/>
    <n v="14156.92"/>
    <n v="0.20611670840370391"/>
  </r>
  <r>
    <s v="ORD0424"/>
    <d v="2024-05-22T00:00:00"/>
    <s v="CUST0424"/>
    <s v="Rohan"/>
    <s v="Male"/>
    <n v="21"/>
    <s v="Delhi"/>
    <x v="1"/>
    <s v="Consumer"/>
    <x v="3"/>
    <s v="UPI"/>
    <s v="Pending"/>
    <n v="3"/>
    <n v="45398"/>
    <n v="122574.6"/>
    <n v="36091.35"/>
    <n v="0.29444395494662023"/>
  </r>
  <r>
    <s v="ORD0425"/>
    <d v="2024-08-17T00:00:00"/>
    <s v="CUST0425"/>
    <s v="Pooja"/>
    <s v="Female"/>
    <n v="21"/>
    <s v="Mumbai"/>
    <x v="0"/>
    <s v="Consumer"/>
    <x v="3"/>
    <s v="Debit Card"/>
    <s v="Returned"/>
    <n v="4"/>
    <n v="19601"/>
    <n v="70563.600000000006"/>
    <n v="24845.69"/>
    <n v="0.35210349245219913"/>
  </r>
  <r>
    <s v="ORD0426"/>
    <d v="2024-04-23T00:00:00"/>
    <s v="CUST0426"/>
    <s v="Rahul"/>
    <s v="Female"/>
    <n v="29"/>
    <s v="Mumbai"/>
    <x v="0"/>
    <s v="Corporate"/>
    <x v="3"/>
    <s v="UPI"/>
    <s v="Cancelled"/>
    <n v="4"/>
    <n v="9256"/>
    <n v="29619.200000000001"/>
    <n v="8873.1299999999992"/>
    <n v="0.29957358740276574"/>
  </r>
  <r>
    <s v="ORD0427"/>
    <d v="2024-02-20T00:00:00"/>
    <s v="CUST0427"/>
    <s v="Priya"/>
    <s v="Female"/>
    <n v="28"/>
    <s v="Pune"/>
    <x v="0"/>
    <s v="Corporate"/>
    <x v="2"/>
    <s v="Debit Card"/>
    <s v="Returned"/>
    <n v="5"/>
    <n v="28525"/>
    <n v="128362.5"/>
    <n v="33860.68"/>
    <n v="0.26378950238582138"/>
  </r>
  <r>
    <s v="ORD0428"/>
    <d v="2024-09-18T00:00:00"/>
    <s v="CUST0428"/>
    <s v="Neha"/>
    <s v="Male"/>
    <n v="47"/>
    <s v="Hyderabad"/>
    <x v="0"/>
    <s v="Home Office"/>
    <x v="4"/>
    <s v="UPI"/>
    <s v="Delivered"/>
    <n v="4"/>
    <n v="2393"/>
    <n v="8614.7999999999993"/>
    <n v="2926.01"/>
    <n v="0.33964920833913737"/>
  </r>
  <r>
    <s v="ORD0429"/>
    <d v="2024-12-15T00:00:00"/>
    <s v="CUST0429"/>
    <s v="Vikram"/>
    <s v="Male"/>
    <n v="38"/>
    <s v="Chennai"/>
    <x v="1"/>
    <s v="Home Office"/>
    <x v="4"/>
    <s v="UPI"/>
    <s v="Pending"/>
    <n v="2"/>
    <n v="22866"/>
    <n v="36585.599999999999"/>
    <n v="7671.3"/>
    <n v="0.20968085804250855"/>
  </r>
  <r>
    <s v="ORD0430"/>
    <d v="2024-09-29T00:00:00"/>
    <s v="CUST0430"/>
    <s v="Rohan"/>
    <s v="Female"/>
    <n v="20"/>
    <s v="Hyderabad"/>
    <x v="2"/>
    <s v="Corporate"/>
    <x v="0"/>
    <s v="Net Banking"/>
    <s v="Cancelled"/>
    <n v="2"/>
    <n v="3395"/>
    <n v="6790"/>
    <n v="1259.93"/>
    <n v="0.18555670103092783"/>
  </r>
  <r>
    <s v="ORD0431"/>
    <d v="2024-10-28T00:00:00"/>
    <s v="CUST0431"/>
    <s v="Rahul"/>
    <s v="Female"/>
    <n v="26"/>
    <s v="Delhi"/>
    <x v="0"/>
    <s v="Home Office"/>
    <x v="1"/>
    <s v="Credit Card"/>
    <s v="Delivered"/>
    <n v="4"/>
    <n v="9151"/>
    <n v="34773.800000000003"/>
    <n v="12506.35"/>
    <n v="0.35964864351897113"/>
  </r>
  <r>
    <s v="ORD0432"/>
    <d v="2024-01-03T00:00:00"/>
    <s v="CUST0432"/>
    <s v="Priya"/>
    <s v="Female"/>
    <n v="36"/>
    <s v="Pune"/>
    <x v="0"/>
    <s v="Corporate"/>
    <x v="2"/>
    <s v="Credit Card"/>
    <s v="Cancelled"/>
    <n v="3"/>
    <n v="3417"/>
    <n v="9225.9"/>
    <n v="3538.97"/>
    <n v="0.38359076079298499"/>
  </r>
  <r>
    <s v="ORD0433"/>
    <d v="2024-03-07T00:00:00"/>
    <s v="CUST0433"/>
    <s v="Rohan"/>
    <s v="Male"/>
    <n v="37"/>
    <s v="Mumbai"/>
    <x v="0"/>
    <s v="Home Office"/>
    <x v="2"/>
    <s v="Cash on Delivery"/>
    <s v="Returned"/>
    <n v="5"/>
    <n v="49136"/>
    <n v="245680"/>
    <n v="38207.68"/>
    <n v="0.15551807228915662"/>
  </r>
  <r>
    <s v="ORD0434"/>
    <d v="2024-01-27T00:00:00"/>
    <s v="CUST0434"/>
    <s v="Ananya"/>
    <s v="Female"/>
    <n v="50"/>
    <s v="Mumbai"/>
    <x v="1"/>
    <s v="Corporate"/>
    <x v="1"/>
    <s v="Cash on Delivery"/>
    <s v="Delivered"/>
    <n v="1"/>
    <n v="35977"/>
    <n v="30580.45"/>
    <n v="4848.2700000000004"/>
    <n v="0.15854148647256663"/>
  </r>
  <r>
    <s v="ORD0435"/>
    <d v="2024-01-13T00:00:00"/>
    <s v="CUST0435"/>
    <s v="Amit"/>
    <s v="Female"/>
    <n v="57"/>
    <s v="Bangalore"/>
    <x v="1"/>
    <s v="Home Office"/>
    <x v="0"/>
    <s v="Cash on Delivery"/>
    <s v="Cancelled"/>
    <n v="1"/>
    <n v="31975"/>
    <n v="28777.5"/>
    <n v="8118.66"/>
    <n v="0.28211832160542089"/>
  </r>
  <r>
    <s v="ORD0436"/>
    <d v="2024-03-24T00:00:00"/>
    <s v="CUST0436"/>
    <s v="Priya"/>
    <s v="Female"/>
    <n v="33"/>
    <s v="Mumbai"/>
    <x v="0"/>
    <s v="Consumer"/>
    <x v="2"/>
    <s v="UPI"/>
    <s v="Returned"/>
    <n v="2"/>
    <n v="5070"/>
    <n v="8112"/>
    <n v="2954.74"/>
    <n v="0.36424309664694277"/>
  </r>
  <r>
    <s v="ORD0437"/>
    <d v="2024-03-17T00:00:00"/>
    <s v="CUST0437"/>
    <s v="Rahul"/>
    <s v="Male"/>
    <n v="23"/>
    <s v="Pune"/>
    <x v="1"/>
    <s v="Corporate"/>
    <x v="2"/>
    <s v="Credit Card"/>
    <s v="Delivered"/>
    <n v="4"/>
    <n v="12344"/>
    <n v="39500.800000000003"/>
    <n v="7975.35"/>
    <n v="0.20190350575178223"/>
  </r>
  <r>
    <s v="ORD0438"/>
    <d v="2024-07-22T00:00:00"/>
    <s v="CUST0438"/>
    <s v="Neha"/>
    <s v="Female"/>
    <n v="57"/>
    <s v="Mumbai"/>
    <x v="2"/>
    <s v="Corporate"/>
    <x v="3"/>
    <s v="Debit Card"/>
    <s v="Returned"/>
    <n v="5"/>
    <n v="8900"/>
    <n v="37825"/>
    <n v="8117.83"/>
    <n v="0.21461546596166556"/>
  </r>
  <r>
    <s v="ORD0439"/>
    <d v="2024-03-26T00:00:00"/>
    <s v="CUST0439"/>
    <s v="Pooja"/>
    <s v="Male"/>
    <n v="49"/>
    <s v="Hyderabad"/>
    <x v="0"/>
    <s v="Consumer"/>
    <x v="2"/>
    <s v="Net Banking"/>
    <s v="Delivered"/>
    <n v="3"/>
    <n v="48394"/>
    <n v="137922.9"/>
    <n v="53567.73"/>
    <n v="0.38838894773819288"/>
  </r>
  <r>
    <s v="ORD0440"/>
    <d v="2024-10-05T00:00:00"/>
    <s v="CUST0440"/>
    <s v="Aarav"/>
    <s v="Male"/>
    <n v="60"/>
    <s v="Bangalore"/>
    <x v="0"/>
    <s v="Corporate"/>
    <x v="0"/>
    <s v="Net Banking"/>
    <s v="Pending"/>
    <n v="3"/>
    <n v="40634"/>
    <n v="97521.600000000006"/>
    <n v="37245.06"/>
    <n v="0.38191600630014272"/>
  </r>
  <r>
    <s v="ORD0441"/>
    <d v="2024-04-27T00:00:00"/>
    <s v="CUST0441"/>
    <s v="Priya"/>
    <s v="Female"/>
    <n v="47"/>
    <s v="Chennai"/>
    <x v="0"/>
    <s v="Home Office"/>
    <x v="3"/>
    <s v="Net Banking"/>
    <s v="Returned"/>
    <n v="3"/>
    <n v="14720"/>
    <n v="44160"/>
    <n v="7914.57"/>
    <n v="0.17922486413043479"/>
  </r>
  <r>
    <s v="ORD0442"/>
    <d v="2024-01-25T00:00:00"/>
    <s v="CUST0442"/>
    <s v="Rahul"/>
    <s v="Female"/>
    <n v="47"/>
    <s v="Mumbai"/>
    <x v="2"/>
    <s v="Corporate"/>
    <x v="2"/>
    <s v="Debit Card"/>
    <s v="Pending"/>
    <n v="2"/>
    <n v="19947"/>
    <n v="37899.300000000003"/>
    <n v="10116.379999999999"/>
    <n v="0.26692788521160016"/>
  </r>
  <r>
    <s v="ORD0443"/>
    <d v="2024-11-25T00:00:00"/>
    <s v="CUST0443"/>
    <s v="Ananya"/>
    <s v="Female"/>
    <n v="33"/>
    <s v="Chennai"/>
    <x v="0"/>
    <s v="Home Office"/>
    <x v="0"/>
    <s v="Net Banking"/>
    <s v="Returned"/>
    <n v="1"/>
    <n v="2089"/>
    <n v="2089"/>
    <n v="517.16999999999996"/>
    <n v="0.24756821445667782"/>
  </r>
  <r>
    <s v="ORD0444"/>
    <d v="2024-01-28T00:00:00"/>
    <s v="CUST0444"/>
    <s v="Amit"/>
    <s v="Male"/>
    <n v="45"/>
    <s v="Delhi"/>
    <x v="2"/>
    <s v="Consumer"/>
    <x v="2"/>
    <s v="Debit Card"/>
    <s v="Delivered"/>
    <n v="4"/>
    <n v="3478"/>
    <n v="12520.8"/>
    <n v="4401.51"/>
    <n v="0.35153584435499335"/>
  </r>
  <r>
    <s v="ORD0445"/>
    <d v="2024-06-22T00:00:00"/>
    <s v="CUST0445"/>
    <s v="Aarav"/>
    <s v="Female"/>
    <n v="60"/>
    <s v="Bangalore"/>
    <x v="0"/>
    <s v="Home Office"/>
    <x v="3"/>
    <s v="Debit Card"/>
    <s v="Returned"/>
    <n v="5"/>
    <n v="48930"/>
    <n v="232417.5"/>
    <n v="42837.39"/>
    <n v="0.1843122398270354"/>
  </r>
  <r>
    <s v="ORD0446"/>
    <d v="2024-05-22T00:00:00"/>
    <s v="CUST0446"/>
    <s v="Amit"/>
    <s v="Male"/>
    <n v="55"/>
    <s v="Chennai"/>
    <x v="0"/>
    <s v="Consumer"/>
    <x v="4"/>
    <s v="Net Banking"/>
    <s v="Pending"/>
    <n v="3"/>
    <n v="41756"/>
    <n v="100214.39999999999"/>
    <n v="25731.3"/>
    <n v="0.25676250119743271"/>
  </r>
  <r>
    <s v="ORD0447"/>
    <d v="2024-07-03T00:00:00"/>
    <s v="CUST0447"/>
    <s v="Rohan"/>
    <s v="Female"/>
    <n v="54"/>
    <s v="Bangalore"/>
    <x v="0"/>
    <s v="Corporate"/>
    <x v="0"/>
    <s v="UPI"/>
    <s v="Cancelled"/>
    <n v="4"/>
    <n v="17789"/>
    <n v="60482.6"/>
    <n v="11864.48"/>
    <n v="0.19616352471619936"/>
  </r>
  <r>
    <s v="ORD0448"/>
    <d v="2024-06-03T00:00:00"/>
    <s v="CUST0448"/>
    <s v="Rahul"/>
    <s v="Female"/>
    <n v="19"/>
    <s v="Hyderabad"/>
    <x v="0"/>
    <s v="Home Office"/>
    <x v="2"/>
    <s v="Debit Card"/>
    <s v="Pending"/>
    <n v="4"/>
    <n v="31723"/>
    <n v="120547.4"/>
    <n v="43213.59"/>
    <n v="0.3584779928891042"/>
  </r>
  <r>
    <s v="ORD0449"/>
    <d v="2024-03-19T00:00:00"/>
    <s v="CUST0449"/>
    <s v="Priya"/>
    <s v="Female"/>
    <n v="27"/>
    <s v="Delhi"/>
    <x v="2"/>
    <s v="Consumer"/>
    <x v="2"/>
    <s v="Debit Card"/>
    <s v="Delivered"/>
    <n v="1"/>
    <n v="27903"/>
    <n v="27903"/>
    <n v="5157.2700000000004"/>
    <n v="0.18482851306311152"/>
  </r>
  <r>
    <s v="ORD0450"/>
    <d v="2024-07-09T00:00:00"/>
    <s v="CUST0450"/>
    <s v="Rahul"/>
    <s v="Female"/>
    <n v="55"/>
    <s v="Chennai"/>
    <x v="0"/>
    <s v="Consumer"/>
    <x v="2"/>
    <s v="Cash on Delivery"/>
    <s v="Delivered"/>
    <n v="2"/>
    <n v="45073"/>
    <n v="85638.7"/>
    <n v="13291.93"/>
    <n v="0.15520938547642596"/>
  </r>
  <r>
    <s v="ORD0451"/>
    <d v="2024-01-31T00:00:00"/>
    <s v="CUST0451"/>
    <s v="Priya"/>
    <s v="Female"/>
    <n v="34"/>
    <s v="Chennai"/>
    <x v="1"/>
    <s v="Home Office"/>
    <x v="1"/>
    <s v="Cash on Delivery"/>
    <s v="Delivered"/>
    <n v="3"/>
    <n v="22535"/>
    <n v="67605"/>
    <n v="11534.24"/>
    <n v="0.17061223282301605"/>
  </r>
  <r>
    <s v="ORD0452"/>
    <d v="2024-05-03T00:00:00"/>
    <s v="CUST0452"/>
    <s v="Rohan"/>
    <s v="Female"/>
    <n v="60"/>
    <s v="Delhi"/>
    <x v="0"/>
    <s v="Corporate"/>
    <x v="1"/>
    <s v="Net Banking"/>
    <s v="Cancelled"/>
    <n v="2"/>
    <n v="35783"/>
    <n v="71566"/>
    <n v="19539.68"/>
    <n v="0.27303020987619819"/>
  </r>
  <r>
    <s v="ORD0453"/>
    <d v="2024-06-07T00:00:00"/>
    <s v="CUST0453"/>
    <s v="Sneha"/>
    <s v="Female"/>
    <n v="42"/>
    <s v="Hyderabad"/>
    <x v="1"/>
    <s v="Corporate"/>
    <x v="2"/>
    <s v="Net Banking"/>
    <s v="Pending"/>
    <n v="1"/>
    <n v="21701"/>
    <n v="18445.849999999999"/>
    <n v="5571.79"/>
    <n v="0.30206198142129531"/>
  </r>
  <r>
    <s v="ORD0454"/>
    <d v="2024-04-17T00:00:00"/>
    <s v="CUST0454"/>
    <s v="Ananya"/>
    <s v="Female"/>
    <n v="40"/>
    <s v="Hyderabad"/>
    <x v="0"/>
    <s v="Consumer"/>
    <x v="2"/>
    <s v="Net Banking"/>
    <s v="Cancelled"/>
    <n v="4"/>
    <n v="32848"/>
    <n v="124822.39999999999"/>
    <n v="34622.379999999997"/>
    <n v="0.27737313174558414"/>
  </r>
  <r>
    <s v="ORD0455"/>
    <d v="2024-04-12T00:00:00"/>
    <s v="CUST0455"/>
    <s v="Priya"/>
    <s v="Female"/>
    <n v="31"/>
    <s v="Bangalore"/>
    <x v="0"/>
    <s v="Corporate"/>
    <x v="2"/>
    <s v="Credit Card"/>
    <s v="Delivered"/>
    <n v="1"/>
    <n v="30441"/>
    <n v="25874.85"/>
    <n v="5479.01"/>
    <n v="0.21175040628254851"/>
  </r>
  <r>
    <s v="ORD0456"/>
    <d v="2024-10-14T00:00:00"/>
    <s v="CUST0456"/>
    <s v="Amit"/>
    <s v="Male"/>
    <n v="44"/>
    <s v="Mumbai"/>
    <x v="0"/>
    <s v="Home Office"/>
    <x v="0"/>
    <s v="Credit Card"/>
    <s v="Pending"/>
    <n v="1"/>
    <n v="28414"/>
    <n v="28414"/>
    <n v="9772.8799999999992"/>
    <n v="0.34394594214119795"/>
  </r>
  <r>
    <s v="ORD0457"/>
    <d v="2024-07-26T00:00:00"/>
    <s v="CUST0457"/>
    <s v="Ananya"/>
    <s v="Female"/>
    <n v="52"/>
    <s v="Mumbai"/>
    <x v="0"/>
    <s v="Consumer"/>
    <x v="4"/>
    <s v="Credit Card"/>
    <s v="Returned"/>
    <n v="4"/>
    <n v="2319"/>
    <n v="8812.2000000000007"/>
    <n v="2549.46"/>
    <n v="0.28931027439231971"/>
  </r>
  <r>
    <s v="ORD0458"/>
    <d v="2024-04-29T00:00:00"/>
    <s v="CUST0458"/>
    <s v="Pooja"/>
    <s v="Female"/>
    <n v="19"/>
    <s v="Chennai"/>
    <x v="1"/>
    <s v="Corporate"/>
    <x v="0"/>
    <s v="UPI"/>
    <s v="Pending"/>
    <n v="5"/>
    <n v="7949"/>
    <n v="37757.75"/>
    <n v="10797.65"/>
    <n v="0.28597175414318915"/>
  </r>
  <r>
    <s v="ORD0459"/>
    <d v="2024-06-22T00:00:00"/>
    <s v="CUST0459"/>
    <s v="Priya"/>
    <s v="Female"/>
    <n v="54"/>
    <s v="Bangalore"/>
    <x v="1"/>
    <s v="Home Office"/>
    <x v="3"/>
    <s v="UPI"/>
    <s v="Returned"/>
    <n v="1"/>
    <n v="6635"/>
    <n v="5639.75"/>
    <n v="1815.15"/>
    <n v="0.3218493727558846"/>
  </r>
  <r>
    <s v="ORD0460"/>
    <d v="2024-05-12T00:00:00"/>
    <s v="CUST0460"/>
    <s v="Amit"/>
    <s v="Female"/>
    <n v="56"/>
    <s v="Hyderabad"/>
    <x v="0"/>
    <s v="Corporate"/>
    <x v="0"/>
    <s v="UPI"/>
    <s v="Cancelled"/>
    <n v="2"/>
    <n v="46384"/>
    <n v="92768"/>
    <n v="18961.05"/>
    <n v="0.20439213953087271"/>
  </r>
  <r>
    <s v="ORD0461"/>
    <d v="2024-10-15T00:00:00"/>
    <s v="CUST0461"/>
    <s v="Vikram"/>
    <s v="Male"/>
    <n v="20"/>
    <s v="Mumbai"/>
    <x v="0"/>
    <s v="Home Office"/>
    <x v="0"/>
    <s v="Net Banking"/>
    <s v="Cancelled"/>
    <n v="5"/>
    <n v="3305"/>
    <n v="13220"/>
    <n v="2134.3000000000002"/>
    <n v="0.16144478063540091"/>
  </r>
  <r>
    <s v="ORD0462"/>
    <d v="2024-07-20T00:00:00"/>
    <s v="CUST0462"/>
    <s v="Pooja"/>
    <s v="Male"/>
    <n v="23"/>
    <s v="Mumbai"/>
    <x v="0"/>
    <s v="Consumer"/>
    <x v="1"/>
    <s v="Cash on Delivery"/>
    <s v="Delivered"/>
    <n v="4"/>
    <n v="17005"/>
    <n v="54416"/>
    <n v="8930.9699999999993"/>
    <n v="0.16412397089091443"/>
  </r>
  <r>
    <s v="ORD0463"/>
    <d v="2024-11-26T00:00:00"/>
    <s v="CUST0463"/>
    <s v="Amit"/>
    <s v="Female"/>
    <n v="46"/>
    <s v="Pune"/>
    <x v="0"/>
    <s v="Home Office"/>
    <x v="2"/>
    <s v="UPI"/>
    <s v="Pending"/>
    <n v="4"/>
    <n v="17515"/>
    <n v="63054"/>
    <n v="17569.98"/>
    <n v="0.27864972880388239"/>
  </r>
  <r>
    <s v="ORD0464"/>
    <d v="2024-08-27T00:00:00"/>
    <s v="CUST0464"/>
    <s v="Vikram"/>
    <s v="Female"/>
    <n v="25"/>
    <s v="Pune"/>
    <x v="2"/>
    <s v="Consumer"/>
    <x v="3"/>
    <s v="UPI"/>
    <s v="Cancelled"/>
    <n v="1"/>
    <n v="46980"/>
    <n v="39933"/>
    <n v="15208.45"/>
    <n v="0.38084917236370924"/>
  </r>
  <r>
    <s v="ORD0465"/>
    <d v="2024-06-07T00:00:00"/>
    <s v="CUST0465"/>
    <s v="Aarav"/>
    <s v="Female"/>
    <n v="54"/>
    <s v="Pune"/>
    <x v="2"/>
    <s v="Consumer"/>
    <x v="4"/>
    <s v="Credit Card"/>
    <s v="Pending"/>
    <n v="4"/>
    <n v="3929"/>
    <n v="12572.8"/>
    <n v="4254.18"/>
    <n v="0.33836376940697382"/>
  </r>
  <r>
    <s v="ORD0466"/>
    <d v="2024-03-25T00:00:00"/>
    <s v="CUST0466"/>
    <s v="Pooja"/>
    <s v="Female"/>
    <n v="50"/>
    <s v="Delhi"/>
    <x v="2"/>
    <s v="Consumer"/>
    <x v="0"/>
    <s v="Debit Card"/>
    <s v="Delivered"/>
    <n v="4"/>
    <n v="16725"/>
    <n v="60210"/>
    <n v="14599.92"/>
    <n v="0.24248330842052815"/>
  </r>
  <r>
    <s v="ORD0467"/>
    <d v="2024-10-26T00:00:00"/>
    <s v="CUST0467"/>
    <s v="Priya"/>
    <s v="Male"/>
    <n v="20"/>
    <s v="Chennai"/>
    <x v="0"/>
    <s v="Corporate"/>
    <x v="4"/>
    <s v="Cash on Delivery"/>
    <s v="Cancelled"/>
    <n v="5"/>
    <n v="7251"/>
    <n v="32629.5"/>
    <n v="12226.73"/>
    <n v="0.37471398581038629"/>
  </r>
  <r>
    <s v="ORD0468"/>
    <d v="2024-07-02T00:00:00"/>
    <s v="CUST0468"/>
    <s v="Amit"/>
    <s v="Male"/>
    <n v="49"/>
    <s v="Mumbai"/>
    <x v="0"/>
    <s v="Consumer"/>
    <x v="2"/>
    <s v="Debit Card"/>
    <s v="Pending"/>
    <n v="5"/>
    <n v="42943"/>
    <n v="193243.5"/>
    <n v="56811.02"/>
    <n v="0.29398670589178938"/>
  </r>
  <r>
    <s v="ORD0469"/>
    <d v="2024-11-04T00:00:00"/>
    <s v="CUST0469"/>
    <s v="Amit"/>
    <s v="Female"/>
    <n v="46"/>
    <s v="Bangalore"/>
    <x v="2"/>
    <s v="Home Office"/>
    <x v="2"/>
    <s v="Credit Card"/>
    <s v="Returned"/>
    <n v="5"/>
    <n v="3185"/>
    <n v="12740"/>
    <n v="1970.25"/>
    <n v="0.15465070643642073"/>
  </r>
  <r>
    <s v="ORD0470"/>
    <d v="2024-10-10T00:00:00"/>
    <s v="CUST0470"/>
    <s v="Amit"/>
    <s v="Female"/>
    <n v="49"/>
    <s v="Chennai"/>
    <x v="0"/>
    <s v="Consumer"/>
    <x v="4"/>
    <s v="Cash on Delivery"/>
    <s v="Returned"/>
    <n v="1"/>
    <n v="40478"/>
    <n v="36430.199999999997"/>
    <n v="6607.86"/>
    <n v="0.18138412635670406"/>
  </r>
  <r>
    <s v="ORD0471"/>
    <d v="2024-11-16T00:00:00"/>
    <s v="CUST0471"/>
    <s v="Ananya"/>
    <s v="Female"/>
    <n v="52"/>
    <s v="Mumbai"/>
    <x v="0"/>
    <s v="Home Office"/>
    <x v="3"/>
    <s v="UPI"/>
    <s v="Pending"/>
    <n v="3"/>
    <n v="31876"/>
    <n v="81283.8"/>
    <n v="27192.799999999999"/>
    <n v="0.33454144614301989"/>
  </r>
  <r>
    <s v="ORD0472"/>
    <d v="2024-11-09T00:00:00"/>
    <s v="CUST0472"/>
    <s v="Aarav"/>
    <s v="Male"/>
    <n v="50"/>
    <s v="Delhi"/>
    <x v="1"/>
    <s v="Corporate"/>
    <x v="1"/>
    <s v="Net Banking"/>
    <s v="Cancelled"/>
    <n v="3"/>
    <n v="27079"/>
    <n v="64989.599999999999"/>
    <n v="24059.48"/>
    <n v="0.37020507896648081"/>
  </r>
  <r>
    <s v="ORD0473"/>
    <d v="2024-01-19T00:00:00"/>
    <s v="CUST0473"/>
    <s v="Aarav"/>
    <s v="Female"/>
    <n v="24"/>
    <s v="Mumbai"/>
    <x v="0"/>
    <s v="Consumer"/>
    <x v="2"/>
    <s v="Cash on Delivery"/>
    <s v="Pending"/>
    <n v="3"/>
    <n v="21466"/>
    <n v="57958.2"/>
    <n v="22618.240000000002"/>
    <n v="0.390250904962542"/>
  </r>
  <r>
    <s v="ORD0474"/>
    <d v="2024-07-23T00:00:00"/>
    <s v="CUST0474"/>
    <s v="Amit"/>
    <s v="Female"/>
    <n v="18"/>
    <s v="Mumbai"/>
    <x v="0"/>
    <s v="Consumer"/>
    <x v="1"/>
    <s v="Debit Card"/>
    <s v="Delivered"/>
    <n v="3"/>
    <n v="45052"/>
    <n v="135156"/>
    <n v="25179.46"/>
    <n v="0.18629923939743703"/>
  </r>
  <r>
    <s v="ORD0475"/>
    <d v="2024-08-13T00:00:00"/>
    <s v="CUST0475"/>
    <s v="Pooja"/>
    <s v="Male"/>
    <n v="37"/>
    <s v="Bangalore"/>
    <x v="0"/>
    <s v="Home Office"/>
    <x v="0"/>
    <s v="Debit Card"/>
    <s v="Pending"/>
    <n v="4"/>
    <n v="3787"/>
    <n v="15148"/>
    <n v="3239.13"/>
    <n v="0.21383218906786375"/>
  </r>
  <r>
    <s v="ORD0476"/>
    <d v="2024-03-14T00:00:00"/>
    <s v="CUST0476"/>
    <s v="Rahul"/>
    <s v="Female"/>
    <n v="28"/>
    <s v="Hyderabad"/>
    <x v="0"/>
    <s v="Consumer"/>
    <x v="2"/>
    <s v="Net Banking"/>
    <s v="Returned"/>
    <n v="1"/>
    <n v="22648"/>
    <n v="19250.8"/>
    <n v="2894.53"/>
    <n v="0.15035894612171963"/>
  </r>
  <r>
    <s v="ORD0477"/>
    <d v="2024-02-09T00:00:00"/>
    <s v="CUST0477"/>
    <s v="Aarav"/>
    <s v="Male"/>
    <n v="25"/>
    <s v="Chennai"/>
    <x v="0"/>
    <s v="Corporate"/>
    <x v="0"/>
    <s v="Credit Card"/>
    <s v="Delivered"/>
    <n v="2"/>
    <n v="48520"/>
    <n v="97040"/>
    <n v="36742.21"/>
    <n v="0.3786295342126958"/>
  </r>
  <r>
    <s v="ORD0478"/>
    <d v="2024-10-11T00:00:00"/>
    <s v="CUST0478"/>
    <s v="Rohan"/>
    <s v="Female"/>
    <n v="28"/>
    <s v="Mumbai"/>
    <x v="0"/>
    <s v="Home Office"/>
    <x v="4"/>
    <s v="Credit Card"/>
    <s v="Returned"/>
    <n v="5"/>
    <n v="44402"/>
    <n v="188708.5"/>
    <n v="54875.43"/>
    <n v="0.29079469128311658"/>
  </r>
  <r>
    <s v="ORD0479"/>
    <d v="2024-05-25T00:00:00"/>
    <s v="CUST0479"/>
    <s v="Priya"/>
    <s v="Male"/>
    <n v="53"/>
    <s v="Hyderabad"/>
    <x v="0"/>
    <s v="Home Office"/>
    <x v="1"/>
    <s v="Credit Card"/>
    <s v="Delivered"/>
    <n v="4"/>
    <n v="41276"/>
    <n v="140338.4"/>
    <n v="49683.67"/>
    <n v="0.35402762180557851"/>
  </r>
  <r>
    <s v="ORD0480"/>
    <d v="2024-09-05T00:00:00"/>
    <s v="CUST0480"/>
    <s v="Rahul"/>
    <s v="Male"/>
    <n v="22"/>
    <s v="Delhi"/>
    <x v="0"/>
    <s v="Corporate"/>
    <x v="1"/>
    <s v="Debit Card"/>
    <s v="Pending"/>
    <n v="3"/>
    <n v="19356"/>
    <n v="46454.400000000001"/>
    <n v="10356.450000000001"/>
    <n v="0.22293797788799338"/>
  </r>
  <r>
    <s v="ORD0481"/>
    <d v="2024-09-06T00:00:00"/>
    <s v="CUST0481"/>
    <s v="Rahul"/>
    <s v="Male"/>
    <n v="48"/>
    <s v="Chennai"/>
    <x v="1"/>
    <s v="Corporate"/>
    <x v="1"/>
    <s v="Net Banking"/>
    <s v="Delivered"/>
    <n v="5"/>
    <n v="40748"/>
    <n v="193553"/>
    <n v="47768.9"/>
    <n v="0.2468001012642532"/>
  </r>
  <r>
    <s v="ORD0482"/>
    <d v="2024-06-29T00:00:00"/>
    <s v="CUST0482"/>
    <s v="Sneha"/>
    <s v="Female"/>
    <n v="50"/>
    <s v="Delhi"/>
    <x v="1"/>
    <s v="Corporate"/>
    <x v="2"/>
    <s v="Cash on Delivery"/>
    <s v="Cancelled"/>
    <n v="4"/>
    <n v="4970"/>
    <n v="19880"/>
    <n v="6849.51"/>
    <n v="0.34454275653923544"/>
  </r>
  <r>
    <s v="ORD0483"/>
    <d v="2024-07-02T00:00:00"/>
    <s v="CUST0483"/>
    <s v="Pooja"/>
    <s v="Male"/>
    <n v="27"/>
    <s v="Hyderabad"/>
    <x v="2"/>
    <s v="Home Office"/>
    <x v="2"/>
    <s v="Debit Card"/>
    <s v="Delivered"/>
    <n v="2"/>
    <n v="20186"/>
    <n v="38353.4"/>
    <n v="5919.75"/>
    <n v="0.1543474633278927"/>
  </r>
  <r>
    <s v="ORD0484"/>
    <d v="2024-12-01T00:00:00"/>
    <s v="CUST0484"/>
    <s v="Sneha"/>
    <s v="Male"/>
    <n v="54"/>
    <s v="Delhi"/>
    <x v="0"/>
    <s v="Home Office"/>
    <x v="4"/>
    <s v="Net Banking"/>
    <s v="Returned"/>
    <n v="1"/>
    <n v="27310"/>
    <n v="21848"/>
    <n v="3984.19"/>
    <n v="0.18235948370560234"/>
  </r>
  <r>
    <s v="ORD0485"/>
    <d v="2024-07-14T00:00:00"/>
    <s v="CUST0485"/>
    <s v="Priya"/>
    <s v="Female"/>
    <n v="54"/>
    <s v="Mumbai"/>
    <x v="0"/>
    <s v="Home Office"/>
    <x v="1"/>
    <s v="Net Banking"/>
    <s v="Delivered"/>
    <n v="3"/>
    <n v="5431"/>
    <n v="14663.7"/>
    <n v="5020.92"/>
    <n v="0.34240471368072178"/>
  </r>
  <r>
    <s v="ORD0486"/>
    <d v="2024-07-17T00:00:00"/>
    <s v="CUST0486"/>
    <s v="Pooja"/>
    <s v="Male"/>
    <n v="26"/>
    <s v="Mumbai"/>
    <x v="0"/>
    <s v="Corporate"/>
    <x v="1"/>
    <s v="Net Banking"/>
    <s v="Delivered"/>
    <n v="3"/>
    <n v="2364"/>
    <n v="6737.4"/>
    <n v="2621.36"/>
    <n v="0.3890759046516461"/>
  </r>
  <r>
    <s v="ORD0487"/>
    <d v="2024-07-05T00:00:00"/>
    <s v="CUST0487"/>
    <s v="Neha"/>
    <s v="Female"/>
    <n v="28"/>
    <s v="Chennai"/>
    <x v="0"/>
    <s v="Consumer"/>
    <x v="0"/>
    <s v="Cash on Delivery"/>
    <s v="Cancelled"/>
    <n v="4"/>
    <n v="35271"/>
    <n v="112867.2"/>
    <n v="30341.69"/>
    <n v="0.26882646154064244"/>
  </r>
  <r>
    <s v="ORD0488"/>
    <d v="2024-11-05T00:00:00"/>
    <s v="CUST0488"/>
    <s v="Vikram"/>
    <s v="Male"/>
    <n v="46"/>
    <s v="Chennai"/>
    <x v="2"/>
    <s v="Consumer"/>
    <x v="3"/>
    <s v="Credit Card"/>
    <s v="Pending"/>
    <n v="4"/>
    <n v="27815"/>
    <n v="89008"/>
    <n v="27734.85"/>
    <n v="0.31159951914434658"/>
  </r>
  <r>
    <s v="ORD0489"/>
    <d v="2024-07-16T00:00:00"/>
    <s v="CUST0489"/>
    <s v="Vikram"/>
    <s v="Female"/>
    <n v="47"/>
    <s v="Delhi"/>
    <x v="0"/>
    <s v="Home Office"/>
    <x v="4"/>
    <s v="Credit Card"/>
    <s v="Cancelled"/>
    <n v="5"/>
    <n v="1503"/>
    <n v="7139.25"/>
    <n v="2495.8200000000002"/>
    <n v="0.34959134362853245"/>
  </r>
  <r>
    <s v="ORD0490"/>
    <d v="2024-01-14T00:00:00"/>
    <s v="CUST0490"/>
    <s v="Priya"/>
    <s v="Male"/>
    <n v="24"/>
    <s v="Mumbai"/>
    <x v="0"/>
    <s v="Home Office"/>
    <x v="4"/>
    <s v="Credit Card"/>
    <s v="Cancelled"/>
    <n v="3"/>
    <n v="39281"/>
    <n v="100166.55"/>
    <n v="24066.49"/>
    <n v="0.24026473907706716"/>
  </r>
  <r>
    <s v="ORD0491"/>
    <d v="2024-06-03T00:00:00"/>
    <s v="CUST0491"/>
    <s v="Vikram"/>
    <s v="Female"/>
    <n v="55"/>
    <s v="Bangalore"/>
    <x v="0"/>
    <s v="Home Office"/>
    <x v="2"/>
    <s v="Cash on Delivery"/>
    <s v="Delivered"/>
    <n v="5"/>
    <n v="2288"/>
    <n v="11440"/>
    <n v="2936.47"/>
    <n v="0.25668444055944056"/>
  </r>
  <r>
    <s v="ORD0492"/>
    <d v="2024-06-01T00:00:00"/>
    <s v="CUST0492"/>
    <s v="Neha"/>
    <s v="Male"/>
    <n v="59"/>
    <s v="Mumbai"/>
    <x v="2"/>
    <s v="Corporate"/>
    <x v="1"/>
    <s v="Net Banking"/>
    <s v="Pending"/>
    <n v="3"/>
    <n v="45675"/>
    <n v="116471.25"/>
    <n v="43807.21"/>
    <n v="0.37612037305343593"/>
  </r>
  <r>
    <s v="ORD0493"/>
    <d v="2024-04-23T00:00:00"/>
    <s v="CUST0493"/>
    <s v="Ananya"/>
    <s v="Male"/>
    <n v="58"/>
    <s v="Chennai"/>
    <x v="1"/>
    <s v="Home Office"/>
    <x v="1"/>
    <s v="Credit Card"/>
    <s v="Returned"/>
    <n v="5"/>
    <n v="49334"/>
    <n v="209669.5"/>
    <n v="35635.35"/>
    <n v="0.1699596269366789"/>
  </r>
  <r>
    <s v="ORD0494"/>
    <d v="2024-02-28T00:00:00"/>
    <s v="CUST0494"/>
    <s v="Sneha"/>
    <s v="Female"/>
    <n v="51"/>
    <s v="Mumbai"/>
    <x v="0"/>
    <s v="Corporate"/>
    <x v="2"/>
    <s v="Cash on Delivery"/>
    <s v="Pending"/>
    <n v="2"/>
    <n v="36942"/>
    <n v="73884"/>
    <n v="14947.04"/>
    <n v="0.20230415245520006"/>
  </r>
  <r>
    <s v="ORD0495"/>
    <d v="2024-08-11T00:00:00"/>
    <s v="CUST0495"/>
    <s v="Amit"/>
    <s v="Male"/>
    <n v="32"/>
    <s v="Mumbai"/>
    <x v="0"/>
    <s v="Consumer"/>
    <x v="4"/>
    <s v="Debit Card"/>
    <s v="Cancelled"/>
    <n v="3"/>
    <n v="43166"/>
    <n v="116548.2"/>
    <n v="38958.550000000003"/>
    <n v="0.3342698557335077"/>
  </r>
  <r>
    <s v="ORD0496"/>
    <d v="2024-07-24T00:00:00"/>
    <s v="CUST0496"/>
    <s v="Aarav"/>
    <s v="Male"/>
    <n v="25"/>
    <s v="Mumbai"/>
    <x v="0"/>
    <s v="Home Office"/>
    <x v="0"/>
    <s v="Cash on Delivery"/>
    <s v="Returned"/>
    <n v="4"/>
    <n v="45818"/>
    <n v="155781.20000000001"/>
    <n v="57193.15"/>
    <n v="0.36713769055572815"/>
  </r>
  <r>
    <s v="ORD0497"/>
    <d v="2024-10-20T00:00:00"/>
    <s v="CUST0497"/>
    <s v="Amit"/>
    <s v="Male"/>
    <n v="47"/>
    <s v="Mumbai"/>
    <x v="0"/>
    <s v="Home Office"/>
    <x v="1"/>
    <s v="Credit Card"/>
    <s v="Pending"/>
    <n v="1"/>
    <n v="24238"/>
    <n v="23026.1"/>
    <n v="4219.16"/>
    <n v="0.18323380859112051"/>
  </r>
  <r>
    <s v="ORD0498"/>
    <d v="2024-01-23T00:00:00"/>
    <s v="CUST0498"/>
    <s v="Amit"/>
    <s v="Male"/>
    <n v="19"/>
    <s v="Delhi"/>
    <x v="2"/>
    <s v="Consumer"/>
    <x v="1"/>
    <s v="Net Banking"/>
    <s v="Pending"/>
    <n v="4"/>
    <n v="21631"/>
    <n v="86524"/>
    <n v="28782.91"/>
    <n v="0.33265810642133975"/>
  </r>
  <r>
    <s v="ORD0499"/>
    <d v="2024-10-24T00:00:00"/>
    <s v="CUST0499"/>
    <s v="Priya"/>
    <s v="Female"/>
    <n v="53"/>
    <s v="Bangalore"/>
    <x v="0"/>
    <s v="Consumer"/>
    <x v="2"/>
    <s v="Net Banking"/>
    <s v="Cancelled"/>
    <n v="2"/>
    <n v="2654"/>
    <n v="4777.2"/>
    <n v="1024.1500000000001"/>
    <n v="0.21438290211839575"/>
  </r>
  <r>
    <s v="ORD0500"/>
    <d v="2024-05-21T00:00:00"/>
    <s v="CUST0500"/>
    <s v="Pooja"/>
    <s v="Male"/>
    <n v="43"/>
    <s v="Pune"/>
    <x v="0"/>
    <s v="Consumer"/>
    <x v="1"/>
    <s v="Cash on Delivery"/>
    <s v="Pending"/>
    <n v="1"/>
    <n v="3423"/>
    <n v="2909.55"/>
    <n v="842.79"/>
    <n v="0.2896633500025777"/>
  </r>
  <r>
    <s v="ORD0501"/>
    <d v="2024-11-08T00:00:00"/>
    <s v="CUST0501"/>
    <s v="Neha"/>
    <s v="Male"/>
    <n v="28"/>
    <s v="Chennai"/>
    <x v="0"/>
    <s v="Home Office"/>
    <x v="3"/>
    <s v="Cash on Delivery"/>
    <s v="Pending"/>
    <n v="4"/>
    <n v="2253"/>
    <n v="7209.6"/>
    <n v="1435.11"/>
    <n v="0.19905542609853527"/>
  </r>
  <r>
    <s v="ORD0502"/>
    <d v="2024-07-25T00:00:00"/>
    <s v="CUST0502"/>
    <s v="Neha"/>
    <s v="Female"/>
    <n v="44"/>
    <s v="Hyderabad"/>
    <x v="2"/>
    <s v="Corporate"/>
    <x v="2"/>
    <s v="UPI"/>
    <s v="Delivered"/>
    <n v="2"/>
    <n v="49614"/>
    <n v="84343.8"/>
    <n v="27655.22"/>
    <n v="0.3278868156284161"/>
  </r>
  <r>
    <s v="ORD0503"/>
    <d v="2024-12-22T00:00:00"/>
    <s v="CUST0503"/>
    <s v="Vikram"/>
    <s v="Female"/>
    <n v="29"/>
    <s v="Pune"/>
    <x v="0"/>
    <s v="Consumer"/>
    <x v="3"/>
    <s v="Net Banking"/>
    <s v="Pending"/>
    <n v="2"/>
    <n v="25300"/>
    <n v="40480"/>
    <n v="9590.7099999999991"/>
    <n v="0.23692465415019762"/>
  </r>
  <r>
    <s v="ORD0504"/>
    <d v="2024-12-31T00:00:00"/>
    <s v="CUST0504"/>
    <s v="Aarav"/>
    <s v="Male"/>
    <n v="24"/>
    <s v="Bangalore"/>
    <x v="0"/>
    <s v="Corporate"/>
    <x v="0"/>
    <s v="UPI"/>
    <s v="Returned"/>
    <n v="2"/>
    <n v="35491"/>
    <n v="63883.8"/>
    <n v="21729.85"/>
    <n v="0.34014648471130393"/>
  </r>
  <r>
    <s v="ORD0505"/>
    <d v="2024-11-30T00:00:00"/>
    <s v="CUST0505"/>
    <s v="Aarav"/>
    <s v="Male"/>
    <n v="56"/>
    <s v="Bangalore"/>
    <x v="1"/>
    <s v="Consumer"/>
    <x v="1"/>
    <s v="Credit Card"/>
    <s v="Returned"/>
    <n v="2"/>
    <n v="28985"/>
    <n v="55071.5"/>
    <n v="10443.14"/>
    <n v="0.18962875534532381"/>
  </r>
  <r>
    <s v="ORD0506"/>
    <d v="2024-03-06T00:00:00"/>
    <s v="CUST0506"/>
    <s v="Ananya"/>
    <s v="Male"/>
    <n v="21"/>
    <s v="Hyderabad"/>
    <x v="0"/>
    <s v="Home Office"/>
    <x v="2"/>
    <s v="Cash on Delivery"/>
    <s v="Delivered"/>
    <n v="1"/>
    <n v="34205"/>
    <n v="27364"/>
    <n v="7496.92"/>
    <n v="0.27397017979827509"/>
  </r>
  <r>
    <s v="ORD0507"/>
    <d v="2024-01-23T00:00:00"/>
    <s v="CUST0507"/>
    <s v="Pooja"/>
    <s v="Female"/>
    <n v="45"/>
    <s v="Delhi"/>
    <x v="0"/>
    <s v="Corporate"/>
    <x v="3"/>
    <s v="Cash on Delivery"/>
    <s v="Cancelled"/>
    <n v="5"/>
    <n v="27152"/>
    <n v="108608"/>
    <n v="31377.16"/>
    <n v="0.28890284325279908"/>
  </r>
  <r>
    <s v="ORD0508"/>
    <d v="2024-08-10T00:00:00"/>
    <s v="CUST0508"/>
    <s v="Amit"/>
    <s v="Female"/>
    <n v="34"/>
    <s v="Chennai"/>
    <x v="1"/>
    <s v="Home Office"/>
    <x v="0"/>
    <s v="Debit Card"/>
    <s v="Pending"/>
    <n v="4"/>
    <n v="6646"/>
    <n v="23925.599999999999"/>
    <n v="5329.22"/>
    <n v="0.22274133146086203"/>
  </r>
  <r>
    <s v="ORD0509"/>
    <d v="2024-02-22T00:00:00"/>
    <s v="CUST0509"/>
    <s v="Priya"/>
    <s v="Male"/>
    <n v="59"/>
    <s v="Chennai"/>
    <x v="0"/>
    <s v="Home Office"/>
    <x v="3"/>
    <s v="UPI"/>
    <s v="Delivered"/>
    <n v="3"/>
    <n v="31875"/>
    <n v="95625"/>
    <n v="28271.7"/>
    <n v="0.29565176470588234"/>
  </r>
  <r>
    <s v="ORD0510"/>
    <d v="2024-03-29T00:00:00"/>
    <s v="CUST0510"/>
    <s v="Rahul"/>
    <s v="Female"/>
    <n v="38"/>
    <s v="Delhi"/>
    <x v="0"/>
    <s v="Corporate"/>
    <x v="3"/>
    <s v="Credit Card"/>
    <s v="Pending"/>
    <n v="2"/>
    <n v="8044"/>
    <n v="13674.8"/>
    <n v="5174.91"/>
    <n v="0.37842674115892005"/>
  </r>
  <r>
    <s v="ORD0511"/>
    <d v="2024-12-01T00:00:00"/>
    <s v="CUST0511"/>
    <s v="Neha"/>
    <s v="Male"/>
    <n v="35"/>
    <s v="Delhi"/>
    <x v="0"/>
    <s v="Consumer"/>
    <x v="2"/>
    <s v="Debit Card"/>
    <s v="Pending"/>
    <n v="5"/>
    <n v="21564"/>
    <n v="91647"/>
    <n v="32575.7"/>
    <n v="0.35544753237967419"/>
  </r>
  <r>
    <s v="ORD0512"/>
    <d v="2024-10-13T00:00:00"/>
    <s v="CUST0512"/>
    <s v="Pooja"/>
    <s v="Female"/>
    <n v="22"/>
    <s v="Delhi"/>
    <x v="1"/>
    <s v="Home Office"/>
    <x v="0"/>
    <s v="Net Banking"/>
    <s v="Pending"/>
    <n v="5"/>
    <n v="22577"/>
    <n v="90308"/>
    <n v="24174.52"/>
    <n v="0.26768968419187672"/>
  </r>
  <r>
    <s v="ORD0513"/>
    <d v="2024-02-17T00:00:00"/>
    <s v="CUST0513"/>
    <s v="Sneha"/>
    <s v="Male"/>
    <n v="45"/>
    <s v="Pune"/>
    <x v="0"/>
    <s v="Consumer"/>
    <x v="0"/>
    <s v="Net Banking"/>
    <s v="Returned"/>
    <n v="3"/>
    <n v="1052"/>
    <n v="3156"/>
    <n v="561.85"/>
    <n v="0.17802598225602029"/>
  </r>
  <r>
    <s v="ORD0514"/>
    <d v="2024-11-17T00:00:00"/>
    <s v="CUST0514"/>
    <s v="Aarav"/>
    <s v="Female"/>
    <n v="49"/>
    <s v="Bangalore"/>
    <x v="0"/>
    <s v="Consumer"/>
    <x v="4"/>
    <s v="Cash on Delivery"/>
    <s v="Delivered"/>
    <n v="5"/>
    <n v="18531"/>
    <n v="83389.5"/>
    <n v="29275.21"/>
    <n v="0.35106590158233347"/>
  </r>
  <r>
    <s v="ORD0515"/>
    <d v="2024-06-19T00:00:00"/>
    <s v="CUST0515"/>
    <s v="Vikram"/>
    <s v="Male"/>
    <n v="48"/>
    <s v="Hyderabad"/>
    <x v="0"/>
    <s v="Consumer"/>
    <x v="1"/>
    <s v="Debit Card"/>
    <s v="Pending"/>
    <n v="5"/>
    <n v="30444"/>
    <n v="136998"/>
    <n v="31904.75"/>
    <n v="0.23288478663922102"/>
  </r>
  <r>
    <s v="ORD0516"/>
    <d v="2024-07-29T00:00:00"/>
    <s v="CUST0516"/>
    <s v="Pooja"/>
    <s v="Male"/>
    <n v="24"/>
    <s v="Hyderabad"/>
    <x v="0"/>
    <s v="Home Office"/>
    <x v="4"/>
    <s v="Net Banking"/>
    <s v="Returned"/>
    <n v="2"/>
    <n v="2265"/>
    <n v="3624"/>
    <n v="1101.02"/>
    <n v="0.30381346578366447"/>
  </r>
  <r>
    <s v="ORD0517"/>
    <d v="2024-07-21T00:00:00"/>
    <s v="CUST0517"/>
    <s v="Ananya"/>
    <s v="Male"/>
    <n v="35"/>
    <s v="Chennai"/>
    <x v="0"/>
    <s v="Consumer"/>
    <x v="1"/>
    <s v="Cash on Delivery"/>
    <s v="Delivered"/>
    <n v="3"/>
    <n v="38946"/>
    <n v="116838"/>
    <n v="36253.42"/>
    <n v="0.3102879200260189"/>
  </r>
  <r>
    <s v="ORD0518"/>
    <d v="2024-10-04T00:00:00"/>
    <s v="CUST0518"/>
    <s v="Aarav"/>
    <s v="Female"/>
    <n v="37"/>
    <s v="Bangalore"/>
    <x v="0"/>
    <s v="Consumer"/>
    <x v="3"/>
    <s v="Cash on Delivery"/>
    <s v="Delivered"/>
    <n v="1"/>
    <n v="29900"/>
    <n v="25415"/>
    <n v="8816.33"/>
    <n v="0.34689474719653746"/>
  </r>
  <r>
    <s v="ORD0519"/>
    <d v="2024-02-07T00:00:00"/>
    <s v="CUST0519"/>
    <s v="Pooja"/>
    <s v="Female"/>
    <n v="20"/>
    <s v="Mumbai"/>
    <x v="0"/>
    <s v="Home Office"/>
    <x v="2"/>
    <s v="Net Banking"/>
    <s v="Cancelled"/>
    <n v="2"/>
    <n v="9030"/>
    <n v="17157"/>
    <n v="6355.48"/>
    <n v="0.37043072798274757"/>
  </r>
  <r>
    <s v="ORD0520"/>
    <d v="2024-07-26T00:00:00"/>
    <s v="CUST0520"/>
    <s v="Ananya"/>
    <s v="Female"/>
    <n v="22"/>
    <s v="Hyderabad"/>
    <x v="2"/>
    <s v="Corporate"/>
    <x v="1"/>
    <s v="UPI"/>
    <s v="Returned"/>
    <n v="2"/>
    <n v="48909"/>
    <n v="78254.399999999994"/>
    <n v="14161.99"/>
    <n v="0.18097372160543052"/>
  </r>
  <r>
    <s v="ORD0521"/>
    <d v="2024-09-27T00:00:00"/>
    <s v="CUST0521"/>
    <s v="Priya"/>
    <s v="Male"/>
    <n v="57"/>
    <s v="Bangalore"/>
    <x v="0"/>
    <s v="Consumer"/>
    <x v="0"/>
    <s v="Debit Card"/>
    <s v="Delivered"/>
    <n v="2"/>
    <n v="42702"/>
    <n v="81133.8"/>
    <n v="15546.04"/>
    <n v="0.19160990857078061"/>
  </r>
  <r>
    <s v="ORD0522"/>
    <d v="2024-11-02T00:00:00"/>
    <s v="CUST0522"/>
    <s v="Ananya"/>
    <s v="Female"/>
    <n v="36"/>
    <s v="Delhi"/>
    <x v="0"/>
    <s v="Corporate"/>
    <x v="2"/>
    <s v="Credit Card"/>
    <s v="Pending"/>
    <n v="2"/>
    <n v="4977"/>
    <n v="8958.6"/>
    <n v="1741.04"/>
    <n v="0.19434286607282386"/>
  </r>
  <r>
    <s v="ORD0523"/>
    <d v="2024-10-17T00:00:00"/>
    <s v="CUST0523"/>
    <s v="Sneha"/>
    <s v="Male"/>
    <n v="27"/>
    <s v="Pune"/>
    <x v="1"/>
    <s v="Home Office"/>
    <x v="0"/>
    <s v="Debit Card"/>
    <s v="Cancelled"/>
    <n v="3"/>
    <n v="5078"/>
    <n v="15234"/>
    <n v="3581.59"/>
    <n v="0.23510502822633583"/>
  </r>
  <r>
    <s v="ORD0524"/>
    <d v="2024-06-03T00:00:00"/>
    <s v="CUST0524"/>
    <s v="Ananya"/>
    <s v="Female"/>
    <n v="49"/>
    <s v="Mumbai"/>
    <x v="0"/>
    <s v="Consumer"/>
    <x v="0"/>
    <s v="Credit Card"/>
    <s v="Pending"/>
    <n v="4"/>
    <n v="34401"/>
    <n v="116963.4"/>
    <n v="18695.53"/>
    <n v="0.15984085619946067"/>
  </r>
  <r>
    <s v="ORD0525"/>
    <d v="2024-12-13T00:00:00"/>
    <s v="CUST0525"/>
    <s v="Sneha"/>
    <s v="Male"/>
    <n v="39"/>
    <s v="Delhi"/>
    <x v="0"/>
    <s v="Consumer"/>
    <x v="0"/>
    <s v="Net Banking"/>
    <s v="Returned"/>
    <n v="4"/>
    <n v="20226"/>
    <n v="80904"/>
    <n v="31545.29"/>
    <n v="0.38991014041332939"/>
  </r>
  <r>
    <s v="ORD0526"/>
    <d v="2024-02-08T00:00:00"/>
    <s v="CUST0526"/>
    <s v="Pooja"/>
    <s v="Male"/>
    <n v="41"/>
    <s v="Delhi"/>
    <x v="0"/>
    <s v="Consumer"/>
    <x v="4"/>
    <s v="Debit Card"/>
    <s v="Pending"/>
    <n v="2"/>
    <n v="41412"/>
    <n v="66259.199999999997"/>
    <n v="21432.48"/>
    <n v="0.32346421327151553"/>
  </r>
  <r>
    <s v="ORD0527"/>
    <d v="2024-02-11T00:00:00"/>
    <s v="CUST0527"/>
    <s v="Rohan"/>
    <s v="Female"/>
    <n v="28"/>
    <s v="Mumbai"/>
    <x v="0"/>
    <s v="Corporate"/>
    <x v="3"/>
    <s v="Debit Card"/>
    <s v="Pending"/>
    <n v="4"/>
    <n v="49316"/>
    <n v="197264"/>
    <n v="64052.639999999999"/>
    <n v="0.32470516668018495"/>
  </r>
  <r>
    <s v="ORD0528"/>
    <d v="2024-11-01T00:00:00"/>
    <s v="CUST0528"/>
    <s v="Pooja"/>
    <s v="Female"/>
    <n v="33"/>
    <s v="Mumbai"/>
    <x v="0"/>
    <s v="Corporate"/>
    <x v="4"/>
    <s v="Debit Card"/>
    <s v="Cancelled"/>
    <n v="5"/>
    <n v="46613"/>
    <n v="198105.25"/>
    <n v="75787.16"/>
    <n v="0.38256007854410723"/>
  </r>
  <r>
    <s v="ORD0529"/>
    <d v="2024-06-06T00:00:00"/>
    <s v="CUST0529"/>
    <s v="Rohan"/>
    <s v="Male"/>
    <n v="41"/>
    <s v="Delhi"/>
    <x v="0"/>
    <s v="Consumer"/>
    <x v="0"/>
    <s v="UPI"/>
    <s v="Pending"/>
    <n v="5"/>
    <n v="38742"/>
    <n v="154968"/>
    <n v="61043.28"/>
    <n v="0.39390893603840793"/>
  </r>
  <r>
    <s v="ORD0530"/>
    <d v="2024-11-22T00:00:00"/>
    <s v="CUST0530"/>
    <s v="Sneha"/>
    <s v="Male"/>
    <n v="19"/>
    <s v="Pune"/>
    <x v="1"/>
    <s v="Corporate"/>
    <x v="0"/>
    <s v="Debit Card"/>
    <s v="Delivered"/>
    <n v="5"/>
    <n v="49426"/>
    <n v="222417"/>
    <n v="59047.53"/>
    <n v="0.26548119073631959"/>
  </r>
  <r>
    <s v="ORD0531"/>
    <d v="2024-03-15T00:00:00"/>
    <s v="CUST0531"/>
    <s v="Vikram"/>
    <s v="Male"/>
    <n v="43"/>
    <s v="Mumbai"/>
    <x v="1"/>
    <s v="Home Office"/>
    <x v="2"/>
    <s v="UPI"/>
    <s v="Delivered"/>
    <n v="4"/>
    <n v="32910"/>
    <n v="131640"/>
    <n v="28708.11"/>
    <n v="0.21808044667274384"/>
  </r>
  <r>
    <s v="ORD0532"/>
    <d v="2024-09-07T00:00:00"/>
    <s v="CUST0532"/>
    <s v="Rohan"/>
    <s v="Female"/>
    <n v="19"/>
    <s v="Mumbai"/>
    <x v="2"/>
    <s v="Consumer"/>
    <x v="1"/>
    <s v="UPI"/>
    <s v="Returned"/>
    <n v="1"/>
    <n v="20909"/>
    <n v="17772.650000000001"/>
    <n v="3920.34"/>
    <n v="0.22058274933676181"/>
  </r>
  <r>
    <s v="ORD0533"/>
    <d v="2024-03-25T00:00:00"/>
    <s v="CUST0533"/>
    <s v="Vikram"/>
    <s v="Female"/>
    <n v="30"/>
    <s v="Delhi"/>
    <x v="0"/>
    <s v="Corporate"/>
    <x v="1"/>
    <s v="Net Banking"/>
    <s v="Pending"/>
    <n v="4"/>
    <n v="37748"/>
    <n v="120793.60000000001"/>
    <n v="18573.61"/>
    <n v="0.15376319606336758"/>
  </r>
  <r>
    <s v="ORD0534"/>
    <d v="2024-05-22T00:00:00"/>
    <s v="CUST0534"/>
    <s v="Rohan"/>
    <s v="Female"/>
    <n v="22"/>
    <s v="Chennai"/>
    <x v="1"/>
    <s v="Corporate"/>
    <x v="3"/>
    <s v="UPI"/>
    <s v="Cancelled"/>
    <n v="2"/>
    <n v="14899"/>
    <n v="29798"/>
    <n v="6443.93"/>
    <n v="0.21625377542116922"/>
  </r>
  <r>
    <s v="ORD0535"/>
    <d v="2024-07-16T00:00:00"/>
    <s v="CUST0535"/>
    <s v="Aarav"/>
    <s v="Female"/>
    <n v="23"/>
    <s v="Hyderabad"/>
    <x v="2"/>
    <s v="Consumer"/>
    <x v="4"/>
    <s v="UPI"/>
    <s v="Cancelled"/>
    <n v="2"/>
    <n v="12998"/>
    <n v="24696.2"/>
    <n v="9049.77"/>
    <n v="0.36644382536584574"/>
  </r>
  <r>
    <s v="ORD0536"/>
    <d v="2024-05-25T00:00:00"/>
    <s v="CUST0536"/>
    <s v="Ananya"/>
    <s v="Male"/>
    <n v="36"/>
    <s v="Mumbai"/>
    <x v="2"/>
    <s v="Corporate"/>
    <x v="4"/>
    <s v="UPI"/>
    <s v="Cancelled"/>
    <n v="1"/>
    <n v="16661"/>
    <n v="14161.85"/>
    <n v="3365.64"/>
    <n v="0.23765539106825731"/>
  </r>
  <r>
    <s v="ORD0537"/>
    <d v="2024-08-01T00:00:00"/>
    <s v="CUST0537"/>
    <s v="Priya"/>
    <s v="Female"/>
    <n v="39"/>
    <s v="Pune"/>
    <x v="1"/>
    <s v="Home Office"/>
    <x v="4"/>
    <s v="Debit Card"/>
    <s v="Pending"/>
    <n v="3"/>
    <n v="6435"/>
    <n v="19305"/>
    <n v="2929.92"/>
    <n v="0.15177000777000776"/>
  </r>
  <r>
    <s v="ORD0538"/>
    <d v="2024-10-22T00:00:00"/>
    <s v="CUST0538"/>
    <s v="Amit"/>
    <s v="Male"/>
    <n v="23"/>
    <s v="Delhi"/>
    <x v="1"/>
    <s v="Home Office"/>
    <x v="4"/>
    <s v="Cash on Delivery"/>
    <s v="Returned"/>
    <n v="2"/>
    <n v="22711"/>
    <n v="45422"/>
    <n v="7755.1"/>
    <n v="0.17073444586323808"/>
  </r>
  <r>
    <s v="ORD0539"/>
    <d v="2024-07-01T00:00:00"/>
    <s v="CUST0539"/>
    <s v="Ananya"/>
    <s v="Male"/>
    <n v="51"/>
    <s v="Pune"/>
    <x v="0"/>
    <s v="Home Office"/>
    <x v="2"/>
    <s v="Debit Card"/>
    <s v="Cancelled"/>
    <n v="5"/>
    <n v="44094"/>
    <n v="209446.5"/>
    <n v="63363.35"/>
    <n v="0.30252761445046827"/>
  </r>
  <r>
    <s v="ORD0540"/>
    <d v="2024-03-13T00:00:00"/>
    <s v="CUST0540"/>
    <s v="Priya"/>
    <s v="Female"/>
    <n v="49"/>
    <s v="Pune"/>
    <x v="0"/>
    <s v="Home Office"/>
    <x v="2"/>
    <s v="Credit Card"/>
    <s v="Pending"/>
    <n v="2"/>
    <n v="2175"/>
    <n v="4132.5"/>
    <n v="1505.72"/>
    <n v="0.36436055656382338"/>
  </r>
  <r>
    <s v="ORD0541"/>
    <d v="2024-07-26T00:00:00"/>
    <s v="CUST0541"/>
    <s v="Aarav"/>
    <s v="Male"/>
    <n v="44"/>
    <s v="Bangalore"/>
    <x v="1"/>
    <s v="Consumer"/>
    <x v="0"/>
    <s v="UPI"/>
    <s v="Pending"/>
    <n v="2"/>
    <n v="27488"/>
    <n v="49478.400000000001"/>
    <n v="12951.41"/>
    <n v="0.26175886851636271"/>
  </r>
  <r>
    <s v="ORD0542"/>
    <d v="2024-12-19T00:00:00"/>
    <s v="CUST0542"/>
    <s v="Sneha"/>
    <s v="Male"/>
    <n v="56"/>
    <s v="Delhi"/>
    <x v="0"/>
    <s v="Home Office"/>
    <x v="1"/>
    <s v="Net Banking"/>
    <s v="Returned"/>
    <n v="4"/>
    <n v="2166"/>
    <n v="8664"/>
    <n v="3406.79"/>
    <n v="0.39321214219759926"/>
  </r>
  <r>
    <s v="ORD0543"/>
    <d v="2024-05-27T00:00:00"/>
    <s v="CUST0543"/>
    <s v="Aarav"/>
    <s v="Female"/>
    <n v="26"/>
    <s v="Bangalore"/>
    <x v="1"/>
    <s v="Home Office"/>
    <x v="4"/>
    <s v="Credit Card"/>
    <s v="Delivered"/>
    <n v="2"/>
    <n v="14421"/>
    <n v="24515.7"/>
    <n v="4801.68"/>
    <n v="0.19586142757498257"/>
  </r>
  <r>
    <s v="ORD0544"/>
    <d v="2024-08-14T00:00:00"/>
    <s v="CUST0544"/>
    <s v="Rahul"/>
    <s v="Female"/>
    <n v="57"/>
    <s v="Pune"/>
    <x v="2"/>
    <s v="Corporate"/>
    <x v="2"/>
    <s v="Debit Card"/>
    <s v="Pending"/>
    <n v="4"/>
    <n v="1139"/>
    <n v="3872.6"/>
    <n v="610.67999999999995"/>
    <n v="0.15769250632649898"/>
  </r>
  <r>
    <s v="ORD0545"/>
    <d v="2024-07-05T00:00:00"/>
    <s v="CUST0545"/>
    <s v="Rohan"/>
    <s v="Male"/>
    <n v="43"/>
    <s v="Pune"/>
    <x v="2"/>
    <s v="Consumer"/>
    <x v="4"/>
    <s v="Net Banking"/>
    <s v="Pending"/>
    <n v="5"/>
    <n v="15659"/>
    <n v="78295"/>
    <n v="24749.08"/>
    <n v="0.31610038955233416"/>
  </r>
  <r>
    <s v="ORD0546"/>
    <d v="2024-09-15T00:00:00"/>
    <s v="CUST0546"/>
    <s v="Priya"/>
    <s v="Male"/>
    <n v="35"/>
    <s v="Bangalore"/>
    <x v="0"/>
    <s v="Corporate"/>
    <x v="4"/>
    <s v="Cash on Delivery"/>
    <s v="Pending"/>
    <n v="3"/>
    <n v="6891"/>
    <n v="16538.400000000001"/>
    <n v="6144"/>
    <n v="0.37149905674067624"/>
  </r>
  <r>
    <s v="ORD0547"/>
    <d v="2024-08-18T00:00:00"/>
    <s v="CUST0547"/>
    <s v="Rahul"/>
    <s v="Female"/>
    <n v="37"/>
    <s v="Delhi"/>
    <x v="0"/>
    <s v="Consumer"/>
    <x v="3"/>
    <s v="Cash on Delivery"/>
    <s v="Pending"/>
    <n v="5"/>
    <n v="29544"/>
    <n v="125562"/>
    <n v="34530.42"/>
    <n v="0.27500692884789985"/>
  </r>
  <r>
    <s v="ORD0548"/>
    <d v="2024-03-29T00:00:00"/>
    <s v="CUST0548"/>
    <s v="Sneha"/>
    <s v="Male"/>
    <n v="41"/>
    <s v="Bangalore"/>
    <x v="0"/>
    <s v="Corporate"/>
    <x v="3"/>
    <s v="Credit Card"/>
    <s v="Cancelled"/>
    <n v="3"/>
    <n v="46762"/>
    <n v="126257.4"/>
    <n v="25155.61"/>
    <n v="0.19924067817015084"/>
  </r>
  <r>
    <s v="ORD0549"/>
    <d v="2024-04-30T00:00:00"/>
    <s v="CUST0549"/>
    <s v="Neha"/>
    <s v="Female"/>
    <n v="50"/>
    <s v="Pune"/>
    <x v="1"/>
    <s v="Corporate"/>
    <x v="1"/>
    <s v="Net Banking"/>
    <s v="Cancelled"/>
    <n v="3"/>
    <n v="22166"/>
    <n v="66498"/>
    <n v="15233.71"/>
    <n v="0.22908523564618483"/>
  </r>
  <r>
    <s v="ORD0550"/>
    <d v="2024-01-21T00:00:00"/>
    <s v="CUST0550"/>
    <s v="Vikram"/>
    <s v="Female"/>
    <n v="34"/>
    <s v="Pune"/>
    <x v="1"/>
    <s v="Home Office"/>
    <x v="0"/>
    <s v="Net Banking"/>
    <s v="Pending"/>
    <n v="1"/>
    <n v="26525"/>
    <n v="21220"/>
    <n v="3369.61"/>
    <n v="0.15879406220546655"/>
  </r>
  <r>
    <s v="ORD0551"/>
    <d v="2024-12-18T00:00:00"/>
    <s v="CUST0551"/>
    <s v="Amit"/>
    <s v="Male"/>
    <n v="34"/>
    <s v="Delhi"/>
    <x v="0"/>
    <s v="Corporate"/>
    <x v="2"/>
    <s v="Debit Card"/>
    <s v="Cancelled"/>
    <n v="5"/>
    <n v="39160"/>
    <n v="186010"/>
    <n v="31193.27"/>
    <n v="0.16769673673458416"/>
  </r>
  <r>
    <s v="ORD0552"/>
    <d v="2024-10-01T00:00:00"/>
    <s v="CUST0552"/>
    <s v="Rahul"/>
    <s v="Male"/>
    <n v="32"/>
    <s v="Pune"/>
    <x v="2"/>
    <s v="Corporate"/>
    <x v="1"/>
    <s v="Cash on Delivery"/>
    <s v="Delivered"/>
    <n v="1"/>
    <n v="22375"/>
    <n v="19018.75"/>
    <n v="7353.44"/>
    <n v="0.38664160368057837"/>
  </r>
  <r>
    <s v="ORD0553"/>
    <d v="2024-09-02T00:00:00"/>
    <s v="CUST0553"/>
    <s v="Aarav"/>
    <s v="Female"/>
    <n v="52"/>
    <s v="Pune"/>
    <x v="0"/>
    <s v="Home Office"/>
    <x v="3"/>
    <s v="Debit Card"/>
    <s v="Cancelled"/>
    <n v="4"/>
    <n v="24696"/>
    <n v="79027.199999999997"/>
    <n v="24144.5"/>
    <n v="0.30552139010366053"/>
  </r>
  <r>
    <s v="ORD0554"/>
    <d v="2024-04-12T00:00:00"/>
    <s v="CUST0554"/>
    <s v="Neha"/>
    <s v="Male"/>
    <n v="53"/>
    <s v="Bangalore"/>
    <x v="0"/>
    <s v="Corporate"/>
    <x v="4"/>
    <s v="UPI"/>
    <s v="Cancelled"/>
    <n v="1"/>
    <n v="18108"/>
    <n v="16297.2"/>
    <n v="6030.1"/>
    <n v="0.37000834499177776"/>
  </r>
  <r>
    <s v="ORD0555"/>
    <d v="2024-03-23T00:00:00"/>
    <s v="CUST0555"/>
    <s v="Neha"/>
    <s v="Male"/>
    <n v="24"/>
    <s v="Bangalore"/>
    <x v="1"/>
    <s v="Consumer"/>
    <x v="1"/>
    <s v="Credit Card"/>
    <s v="Cancelled"/>
    <n v="1"/>
    <n v="25374"/>
    <n v="25374"/>
    <n v="7403.06"/>
    <n v="0.29175770473713253"/>
  </r>
  <r>
    <s v="ORD0556"/>
    <d v="2024-06-10T00:00:00"/>
    <s v="CUST0556"/>
    <s v="Amit"/>
    <s v="Male"/>
    <n v="49"/>
    <s v="Hyderabad"/>
    <x v="1"/>
    <s v="Home Office"/>
    <x v="0"/>
    <s v="Cash on Delivery"/>
    <s v="Returned"/>
    <n v="3"/>
    <n v="11369"/>
    <n v="27285.599999999999"/>
    <n v="5173.16"/>
    <n v="0.18959304541589703"/>
  </r>
  <r>
    <s v="ORD0557"/>
    <d v="2024-11-24T00:00:00"/>
    <s v="CUST0557"/>
    <s v="Neha"/>
    <s v="Male"/>
    <n v="41"/>
    <s v="Pune"/>
    <x v="2"/>
    <s v="Corporate"/>
    <x v="0"/>
    <s v="Debit Card"/>
    <s v="Pending"/>
    <n v="1"/>
    <n v="27164"/>
    <n v="23089.4"/>
    <n v="9158.81"/>
    <n v="0.39666730187878418"/>
  </r>
  <r>
    <s v="ORD0558"/>
    <d v="2024-09-04T00:00:00"/>
    <s v="CUST0558"/>
    <s v="Aarav"/>
    <s v="Male"/>
    <n v="31"/>
    <s v="Bangalore"/>
    <x v="1"/>
    <s v="Home Office"/>
    <x v="1"/>
    <s v="Net Banking"/>
    <s v="Cancelled"/>
    <n v="2"/>
    <n v="35733"/>
    <n v="67892.7"/>
    <n v="19533.04"/>
    <n v="0.28770456912156978"/>
  </r>
  <r>
    <s v="ORD0559"/>
    <d v="2024-12-26T00:00:00"/>
    <s v="CUST0559"/>
    <s v="Rahul"/>
    <s v="Male"/>
    <n v="38"/>
    <s v="Pune"/>
    <x v="0"/>
    <s v="Corporate"/>
    <x v="4"/>
    <s v="UPI"/>
    <s v="Cancelled"/>
    <n v="5"/>
    <n v="27354"/>
    <n v="116254.5"/>
    <n v="38291.980000000003"/>
    <n v="0.32938062612630054"/>
  </r>
  <r>
    <s v="ORD0560"/>
    <d v="2024-11-11T00:00:00"/>
    <s v="CUST0560"/>
    <s v="Ananya"/>
    <s v="Male"/>
    <n v="40"/>
    <s v="Pune"/>
    <x v="0"/>
    <s v="Corporate"/>
    <x v="1"/>
    <s v="Net Banking"/>
    <s v="Cancelled"/>
    <n v="5"/>
    <n v="36981"/>
    <n v="175659.75"/>
    <n v="53618.94"/>
    <n v="0.30524317608330881"/>
  </r>
  <r>
    <s v="ORD0561"/>
    <d v="2024-03-27T00:00:00"/>
    <s v="CUST0561"/>
    <s v="Aarav"/>
    <s v="Male"/>
    <n v="58"/>
    <s v="Delhi"/>
    <x v="0"/>
    <s v="Home Office"/>
    <x v="4"/>
    <s v="Net Banking"/>
    <s v="Pending"/>
    <n v="2"/>
    <n v="48946"/>
    <n v="88102.8"/>
    <n v="23976.81"/>
    <n v="0.27214583418461163"/>
  </r>
  <r>
    <s v="ORD0562"/>
    <d v="2024-12-29T00:00:00"/>
    <s v="CUST0562"/>
    <s v="Rohan"/>
    <s v="Male"/>
    <n v="31"/>
    <s v="Pune"/>
    <x v="0"/>
    <s v="Home Office"/>
    <x v="4"/>
    <s v="Cash on Delivery"/>
    <s v="Cancelled"/>
    <n v="5"/>
    <n v="26611"/>
    <n v="113096.75"/>
    <n v="35734.44"/>
    <n v="0.31596345606748205"/>
  </r>
  <r>
    <s v="ORD0563"/>
    <d v="2024-10-07T00:00:00"/>
    <s v="CUST0563"/>
    <s v="Amit"/>
    <s v="Female"/>
    <n v="48"/>
    <s v="Delhi"/>
    <x v="0"/>
    <s v="Corporate"/>
    <x v="4"/>
    <s v="Net Banking"/>
    <s v="Pending"/>
    <n v="3"/>
    <n v="13079"/>
    <n v="33351.449999999997"/>
    <n v="12388.19"/>
    <n v="0.3714438202836759"/>
  </r>
  <r>
    <s v="ORD0564"/>
    <d v="2024-04-19T00:00:00"/>
    <s v="CUST0564"/>
    <s v="Rahul"/>
    <s v="Female"/>
    <n v="51"/>
    <s v="Mumbai"/>
    <x v="0"/>
    <s v="Home Office"/>
    <x v="1"/>
    <s v="Credit Card"/>
    <s v="Returned"/>
    <n v="4"/>
    <n v="47882"/>
    <n v="191528"/>
    <n v="47722.25"/>
    <n v="0.24916591829915208"/>
  </r>
  <r>
    <s v="ORD0565"/>
    <d v="2024-10-06T00:00:00"/>
    <s v="CUST0565"/>
    <s v="Vikram"/>
    <s v="Female"/>
    <n v="22"/>
    <s v="Pune"/>
    <x v="0"/>
    <s v="Home Office"/>
    <x v="0"/>
    <s v="Cash on Delivery"/>
    <s v="Cancelled"/>
    <n v="4"/>
    <n v="28329"/>
    <n v="101984.4"/>
    <n v="15750.5"/>
    <n v="0.15444028694584663"/>
  </r>
  <r>
    <s v="ORD0566"/>
    <d v="2024-03-03T00:00:00"/>
    <s v="CUST0566"/>
    <s v="Neha"/>
    <s v="Female"/>
    <n v="38"/>
    <s v="Mumbai"/>
    <x v="0"/>
    <s v="Consumer"/>
    <x v="2"/>
    <s v="Debit Card"/>
    <s v="Delivered"/>
    <n v="3"/>
    <n v="29911"/>
    <n v="76273.05"/>
    <n v="16227.54"/>
    <n v="0.21275588166462467"/>
  </r>
  <r>
    <s v="ORD0567"/>
    <d v="2024-06-24T00:00:00"/>
    <s v="CUST0567"/>
    <s v="Neha"/>
    <s v="Male"/>
    <n v="18"/>
    <s v="Hyderabad"/>
    <x v="1"/>
    <s v="Corporate"/>
    <x v="2"/>
    <s v="UPI"/>
    <s v="Returned"/>
    <n v="2"/>
    <n v="29831"/>
    <n v="53695.8"/>
    <n v="10977.44"/>
    <n v="0.20443759102201661"/>
  </r>
  <r>
    <s v="ORD0568"/>
    <d v="2024-01-16T00:00:00"/>
    <s v="CUST0568"/>
    <s v="Ananya"/>
    <s v="Female"/>
    <n v="54"/>
    <s v="Bangalore"/>
    <x v="2"/>
    <s v="Corporate"/>
    <x v="3"/>
    <s v="Credit Card"/>
    <s v="Pending"/>
    <n v="1"/>
    <n v="37724"/>
    <n v="37724"/>
    <n v="9534.93"/>
    <n v="0.25275501007316298"/>
  </r>
  <r>
    <s v="ORD0569"/>
    <d v="2024-09-12T00:00:00"/>
    <s v="CUST0569"/>
    <s v="Rahul"/>
    <s v="Male"/>
    <n v="22"/>
    <s v="Chennai"/>
    <x v="1"/>
    <s v="Corporate"/>
    <x v="2"/>
    <s v="UPI"/>
    <s v="Cancelled"/>
    <n v="5"/>
    <n v="28175"/>
    <n v="112700"/>
    <n v="35024"/>
    <n v="0.31077196095829634"/>
  </r>
  <r>
    <s v="ORD0570"/>
    <d v="2024-02-01T00:00:00"/>
    <s v="CUST0570"/>
    <s v="Vikram"/>
    <s v="Female"/>
    <n v="42"/>
    <s v="Mumbai"/>
    <x v="0"/>
    <s v="Corporate"/>
    <x v="4"/>
    <s v="Debit Card"/>
    <s v="Pending"/>
    <n v="1"/>
    <n v="26834"/>
    <n v="24150.6"/>
    <n v="8375.77"/>
    <n v="0.34681415782630665"/>
  </r>
  <r>
    <s v="ORD0571"/>
    <d v="2024-09-12T00:00:00"/>
    <s v="CUST0571"/>
    <s v="Vikram"/>
    <s v="Female"/>
    <n v="19"/>
    <s v="Hyderabad"/>
    <x v="2"/>
    <s v="Consumer"/>
    <x v="2"/>
    <s v="Cash on Delivery"/>
    <s v="Pending"/>
    <n v="2"/>
    <n v="23349"/>
    <n v="39693.300000000003"/>
    <n v="8965.34"/>
    <n v="0.22586532235918907"/>
  </r>
  <r>
    <s v="ORD0572"/>
    <d v="2024-03-10T00:00:00"/>
    <s v="CUST0572"/>
    <s v="Neha"/>
    <s v="Male"/>
    <n v="55"/>
    <s v="Bangalore"/>
    <x v="0"/>
    <s v="Consumer"/>
    <x v="2"/>
    <s v="Debit Card"/>
    <s v="Pending"/>
    <n v="1"/>
    <n v="27599"/>
    <n v="23459.15"/>
    <n v="5919.38"/>
    <n v="0.25232713035212273"/>
  </r>
  <r>
    <s v="ORD0573"/>
    <d v="2024-04-02T00:00:00"/>
    <s v="CUST0573"/>
    <s v="Vikram"/>
    <s v="Male"/>
    <n v="46"/>
    <s v="Delhi"/>
    <x v="0"/>
    <s v="Corporate"/>
    <x v="3"/>
    <s v="Credit Card"/>
    <s v="Delivered"/>
    <n v="1"/>
    <n v="1386"/>
    <n v="1178.0999999999999"/>
    <n v="374.81"/>
    <n v="0.31814786520668875"/>
  </r>
  <r>
    <s v="ORD0574"/>
    <d v="2024-12-27T00:00:00"/>
    <s v="CUST0574"/>
    <s v="Amit"/>
    <s v="Male"/>
    <n v="48"/>
    <s v="Bangalore"/>
    <x v="0"/>
    <s v="Home Office"/>
    <x v="0"/>
    <s v="UPI"/>
    <s v="Returned"/>
    <n v="3"/>
    <n v="24522"/>
    <n v="66209.399999999994"/>
    <n v="23446.49"/>
    <n v="0.3541263023075274"/>
  </r>
  <r>
    <s v="ORD0575"/>
    <d v="2024-07-10T00:00:00"/>
    <s v="CUST0575"/>
    <s v="Neha"/>
    <s v="Female"/>
    <n v="54"/>
    <s v="Chennai"/>
    <x v="0"/>
    <s v="Home Office"/>
    <x v="4"/>
    <s v="Debit Card"/>
    <s v="Cancelled"/>
    <n v="3"/>
    <n v="35901"/>
    <n v="96932.7"/>
    <n v="22112.07"/>
    <n v="0.22811775592756625"/>
  </r>
  <r>
    <s v="ORD0576"/>
    <d v="2024-03-28T00:00:00"/>
    <s v="CUST0576"/>
    <s v="Ananya"/>
    <s v="Female"/>
    <n v="58"/>
    <s v="Pune"/>
    <x v="2"/>
    <s v="Corporate"/>
    <x v="4"/>
    <s v="Credit Card"/>
    <s v="Pending"/>
    <n v="5"/>
    <n v="36415"/>
    <n v="172971.25"/>
    <n v="57070.02"/>
    <n v="0.32993933963014083"/>
  </r>
  <r>
    <s v="ORD0577"/>
    <d v="2024-02-29T00:00:00"/>
    <s v="CUST0577"/>
    <s v="Neha"/>
    <s v="Male"/>
    <n v="39"/>
    <s v="Chennai"/>
    <x v="1"/>
    <s v="Consumer"/>
    <x v="2"/>
    <s v="Net Banking"/>
    <s v="Delivered"/>
    <n v="4"/>
    <n v="21838"/>
    <n v="69881.600000000006"/>
    <n v="15109.23"/>
    <n v="0.21621184975730376"/>
  </r>
  <r>
    <s v="ORD0578"/>
    <d v="2024-07-15T00:00:00"/>
    <s v="CUST0578"/>
    <s v="Amit"/>
    <s v="Female"/>
    <n v="39"/>
    <s v="Delhi"/>
    <x v="1"/>
    <s v="Home Office"/>
    <x v="2"/>
    <s v="Cash on Delivery"/>
    <s v="Cancelled"/>
    <n v="4"/>
    <n v="49004"/>
    <n v="176414.4"/>
    <n v="36292.61"/>
    <n v="0.20572362573576761"/>
  </r>
  <r>
    <s v="ORD0579"/>
    <d v="2024-09-04T00:00:00"/>
    <s v="CUST0579"/>
    <s v="Pooja"/>
    <s v="Male"/>
    <n v="37"/>
    <s v="Delhi"/>
    <x v="2"/>
    <s v="Corporate"/>
    <x v="3"/>
    <s v="Debit Card"/>
    <s v="Cancelled"/>
    <n v="1"/>
    <n v="48209"/>
    <n v="45798.55"/>
    <n v="7467.11"/>
    <n v="0.16304249807035373"/>
  </r>
  <r>
    <s v="ORD0580"/>
    <d v="2024-03-21T00:00:00"/>
    <s v="CUST0580"/>
    <s v="Vikram"/>
    <s v="Female"/>
    <n v="32"/>
    <s v="Pune"/>
    <x v="1"/>
    <s v="Consumer"/>
    <x v="4"/>
    <s v="UPI"/>
    <s v="Returned"/>
    <n v="3"/>
    <n v="20655"/>
    <n v="58866.75"/>
    <n v="14188.6"/>
    <n v="0.24102910386593451"/>
  </r>
  <r>
    <s v="ORD0581"/>
    <d v="2024-05-05T00:00:00"/>
    <s v="CUST0581"/>
    <s v="Aarav"/>
    <s v="Male"/>
    <n v="34"/>
    <s v="Delhi"/>
    <x v="0"/>
    <s v="Corporate"/>
    <x v="2"/>
    <s v="Credit Card"/>
    <s v="Returned"/>
    <n v="4"/>
    <n v="14311"/>
    <n v="51519.6"/>
    <n v="17884.84"/>
    <n v="0.34714632877584456"/>
  </r>
  <r>
    <s v="ORD0582"/>
    <d v="2024-06-20T00:00:00"/>
    <s v="CUST0582"/>
    <s v="Amit"/>
    <s v="Male"/>
    <n v="53"/>
    <s v="Pune"/>
    <x v="2"/>
    <s v="Home Office"/>
    <x v="0"/>
    <s v="Cash on Delivery"/>
    <s v="Returned"/>
    <n v="4"/>
    <n v="25151"/>
    <n v="80483.199999999997"/>
    <n v="31944.41"/>
    <n v="0.39690780187666497"/>
  </r>
  <r>
    <s v="ORD0583"/>
    <d v="2024-05-18T00:00:00"/>
    <s v="CUST0583"/>
    <s v="Vikram"/>
    <s v="Male"/>
    <n v="57"/>
    <s v="Mumbai"/>
    <x v="0"/>
    <s v="Consumer"/>
    <x v="4"/>
    <s v="UPI"/>
    <s v="Returned"/>
    <n v="3"/>
    <n v="36107"/>
    <n v="97488.9"/>
    <n v="22170.07"/>
    <n v="0.22741122322643911"/>
  </r>
  <r>
    <s v="ORD0584"/>
    <d v="2024-12-25T00:00:00"/>
    <s v="CUST0584"/>
    <s v="Neha"/>
    <s v="Male"/>
    <n v="58"/>
    <s v="Delhi"/>
    <x v="1"/>
    <s v="Corporate"/>
    <x v="2"/>
    <s v="Debit Card"/>
    <s v="Returned"/>
    <n v="4"/>
    <n v="42721"/>
    <n v="162339.79999999999"/>
    <n v="28105.7"/>
    <n v="0.17312883223953709"/>
  </r>
  <r>
    <s v="ORD0585"/>
    <d v="2024-04-15T00:00:00"/>
    <s v="CUST0585"/>
    <s v="Rahul"/>
    <s v="Male"/>
    <n v="60"/>
    <s v="Bangalore"/>
    <x v="0"/>
    <s v="Corporate"/>
    <x v="4"/>
    <s v="Credit Card"/>
    <s v="Delivered"/>
    <n v="3"/>
    <n v="1101"/>
    <n v="2642.4"/>
    <n v="507.92"/>
    <n v="0.19221919467151075"/>
  </r>
  <r>
    <s v="ORD0586"/>
    <d v="2024-11-13T00:00:00"/>
    <s v="CUST0586"/>
    <s v="Priya"/>
    <s v="Female"/>
    <n v="59"/>
    <s v="Delhi"/>
    <x v="1"/>
    <s v="Consumer"/>
    <x v="4"/>
    <s v="Debit Card"/>
    <s v="Cancelled"/>
    <n v="2"/>
    <n v="22870"/>
    <n v="45740"/>
    <n v="14134.06"/>
    <n v="0.30900874508089199"/>
  </r>
  <r>
    <s v="ORD0587"/>
    <d v="2024-04-16T00:00:00"/>
    <s v="CUST0587"/>
    <s v="Aarav"/>
    <s v="Female"/>
    <n v="28"/>
    <s v="Pune"/>
    <x v="0"/>
    <s v="Consumer"/>
    <x v="2"/>
    <s v="Net Banking"/>
    <s v="Delivered"/>
    <n v="3"/>
    <n v="10139"/>
    <n v="30417"/>
    <n v="11505.6"/>
    <n v="0.37826215603116681"/>
  </r>
  <r>
    <s v="ORD0588"/>
    <d v="2024-11-23T00:00:00"/>
    <s v="CUST0588"/>
    <s v="Priya"/>
    <s v="Female"/>
    <n v="51"/>
    <s v="Pune"/>
    <x v="0"/>
    <s v="Home Office"/>
    <x v="3"/>
    <s v="UPI"/>
    <s v="Returned"/>
    <n v="5"/>
    <n v="16626"/>
    <n v="66504"/>
    <n v="13341.34"/>
    <n v="0.2006095873932395"/>
  </r>
  <r>
    <s v="ORD0589"/>
    <d v="2024-02-16T00:00:00"/>
    <s v="CUST0589"/>
    <s v="Vikram"/>
    <s v="Male"/>
    <n v="31"/>
    <s v="Pune"/>
    <x v="0"/>
    <s v="Home Office"/>
    <x v="2"/>
    <s v="UPI"/>
    <s v="Returned"/>
    <n v="1"/>
    <n v="13465"/>
    <n v="11445.25"/>
    <n v="3647.38"/>
    <n v="0.31868067538935368"/>
  </r>
  <r>
    <s v="ORD0590"/>
    <d v="2024-01-06T00:00:00"/>
    <s v="CUST0590"/>
    <s v="Rohan"/>
    <s v="Female"/>
    <n v="33"/>
    <s v="Mumbai"/>
    <x v="1"/>
    <s v="Consumer"/>
    <x v="0"/>
    <s v="Credit Card"/>
    <s v="Pending"/>
    <n v="2"/>
    <n v="4913"/>
    <n v="8843.4"/>
    <n v="2210.5700000000002"/>
    <n v="0.24996833796955925"/>
  </r>
  <r>
    <s v="ORD0591"/>
    <d v="2024-02-26T00:00:00"/>
    <s v="CUST0591"/>
    <s v="Neha"/>
    <s v="Male"/>
    <n v="39"/>
    <s v="Mumbai"/>
    <x v="0"/>
    <s v="Home Office"/>
    <x v="2"/>
    <s v="Net Banking"/>
    <s v="Returned"/>
    <n v="1"/>
    <n v="10372"/>
    <n v="10372"/>
    <n v="4059.2"/>
    <n v="0.39136135750096412"/>
  </r>
  <r>
    <s v="ORD0592"/>
    <d v="2024-07-30T00:00:00"/>
    <s v="CUST0592"/>
    <s v="Rahul"/>
    <s v="Female"/>
    <n v="37"/>
    <s v="Mumbai"/>
    <x v="0"/>
    <s v="Home Office"/>
    <x v="3"/>
    <s v="Cash on Delivery"/>
    <s v="Returned"/>
    <n v="5"/>
    <n v="24971"/>
    <n v="124855"/>
    <n v="19579.580000000002"/>
    <n v="0.15681854951744023"/>
  </r>
  <r>
    <s v="ORD0593"/>
    <d v="2024-11-14T00:00:00"/>
    <s v="CUST0593"/>
    <s v="Pooja"/>
    <s v="Male"/>
    <n v="38"/>
    <s v="Bangalore"/>
    <x v="0"/>
    <s v="Home Office"/>
    <x v="3"/>
    <s v="Net Banking"/>
    <s v="Pending"/>
    <n v="5"/>
    <n v="29935"/>
    <n v="142191.25"/>
    <n v="51527.7"/>
    <n v="0.36238305802923876"/>
  </r>
  <r>
    <s v="ORD0594"/>
    <d v="2024-10-06T00:00:00"/>
    <s v="CUST0594"/>
    <s v="Neha"/>
    <s v="Male"/>
    <n v="44"/>
    <s v="Pune"/>
    <x v="2"/>
    <s v="Corporate"/>
    <x v="3"/>
    <s v="Debit Card"/>
    <s v="Delivered"/>
    <n v="5"/>
    <n v="17206"/>
    <n v="77427"/>
    <n v="17074.66"/>
    <n v="0.22052591473258681"/>
  </r>
  <r>
    <s v="ORD0595"/>
    <d v="2024-12-06T00:00:00"/>
    <s v="CUST0595"/>
    <s v="Pooja"/>
    <s v="Male"/>
    <n v="58"/>
    <s v="Mumbai"/>
    <x v="0"/>
    <s v="Home Office"/>
    <x v="2"/>
    <s v="Cash on Delivery"/>
    <s v="Returned"/>
    <n v="2"/>
    <n v="17573"/>
    <n v="35146"/>
    <n v="11099.13"/>
    <n v="0.31580066010356794"/>
  </r>
  <r>
    <s v="ORD0596"/>
    <d v="2024-01-06T00:00:00"/>
    <s v="CUST0596"/>
    <s v="Amit"/>
    <s v="Male"/>
    <n v="19"/>
    <s v="Mumbai"/>
    <x v="0"/>
    <s v="Corporate"/>
    <x v="2"/>
    <s v="Cash on Delivery"/>
    <s v="Cancelled"/>
    <n v="3"/>
    <n v="16434"/>
    <n v="39441.599999999999"/>
    <n v="9899.1"/>
    <n v="0.2509811975173421"/>
  </r>
  <r>
    <s v="ORD0597"/>
    <d v="2024-03-08T00:00:00"/>
    <s v="CUST0597"/>
    <s v="Pooja"/>
    <s v="Female"/>
    <n v="48"/>
    <s v="Hyderabad"/>
    <x v="0"/>
    <s v="Home Office"/>
    <x v="1"/>
    <s v="Cash on Delivery"/>
    <s v="Pending"/>
    <n v="4"/>
    <n v="43564"/>
    <n v="156830.39999999999"/>
    <n v="25080.45"/>
    <n v="0.1599208444281211"/>
  </r>
  <r>
    <s v="ORD0598"/>
    <d v="2024-04-05T00:00:00"/>
    <s v="CUST0598"/>
    <s v="Rahul"/>
    <s v="Female"/>
    <n v="43"/>
    <s v="Hyderabad"/>
    <x v="0"/>
    <s v="Home Office"/>
    <x v="3"/>
    <s v="UPI"/>
    <s v="Delivered"/>
    <n v="3"/>
    <n v="48587"/>
    <n v="145761"/>
    <n v="44871.09"/>
    <n v="0.30784016300656553"/>
  </r>
  <r>
    <s v="ORD0599"/>
    <d v="2024-03-25T00:00:00"/>
    <s v="CUST0599"/>
    <s v="Rahul"/>
    <s v="Female"/>
    <n v="49"/>
    <s v="Hyderabad"/>
    <x v="0"/>
    <s v="Consumer"/>
    <x v="4"/>
    <s v="Net Banking"/>
    <s v="Pending"/>
    <n v="2"/>
    <n v="7672"/>
    <n v="13042.4"/>
    <n v="2282.15"/>
    <n v="0.17497929828865855"/>
  </r>
  <r>
    <s v="ORD0600"/>
    <d v="2024-01-28T00:00:00"/>
    <s v="CUST0600"/>
    <s v="Rahul"/>
    <s v="Male"/>
    <n v="19"/>
    <s v="Pune"/>
    <x v="0"/>
    <s v="Corporate"/>
    <x v="1"/>
    <s v="Cash on Delivery"/>
    <s v="Cancelled"/>
    <n v="5"/>
    <n v="31804"/>
    <n v="159020"/>
    <n v="43283.51"/>
    <n v="0.27218909571123129"/>
  </r>
  <r>
    <s v="ORD0601"/>
    <d v="2024-06-10T00:00:00"/>
    <s v="CUST0601"/>
    <s v="Neha"/>
    <s v="Male"/>
    <n v="22"/>
    <s v="Pune"/>
    <x v="0"/>
    <s v="Corporate"/>
    <x v="3"/>
    <s v="Net Banking"/>
    <s v="Returned"/>
    <n v="5"/>
    <n v="8182"/>
    <n v="36819"/>
    <n v="12939.88"/>
    <n v="0.35144572095928728"/>
  </r>
  <r>
    <s v="ORD0602"/>
    <d v="2024-11-24T00:00:00"/>
    <s v="CUST0602"/>
    <s v="Aarav"/>
    <s v="Male"/>
    <n v="41"/>
    <s v="Delhi"/>
    <x v="1"/>
    <s v="Consumer"/>
    <x v="2"/>
    <s v="Credit Card"/>
    <s v="Pending"/>
    <n v="2"/>
    <n v="31837"/>
    <n v="60490.3"/>
    <n v="19299.7"/>
    <n v="0.31905445997126813"/>
  </r>
  <r>
    <s v="ORD0603"/>
    <d v="2024-09-23T00:00:00"/>
    <s v="CUST0603"/>
    <s v="Rahul"/>
    <s v="Female"/>
    <n v="20"/>
    <s v="Delhi"/>
    <x v="0"/>
    <s v="Home Office"/>
    <x v="0"/>
    <s v="Cash on Delivery"/>
    <s v="Pending"/>
    <n v="4"/>
    <n v="7817"/>
    <n v="31268"/>
    <n v="6806.07"/>
    <n v="0.21766886273506458"/>
  </r>
  <r>
    <s v="ORD0604"/>
    <d v="2024-10-17T00:00:00"/>
    <s v="CUST0604"/>
    <s v="Rohan"/>
    <s v="Male"/>
    <n v="32"/>
    <s v="Delhi"/>
    <x v="0"/>
    <s v="Consumer"/>
    <x v="0"/>
    <s v="Net Banking"/>
    <s v="Pending"/>
    <n v="1"/>
    <n v="6494"/>
    <n v="5195.2"/>
    <n v="1426.04"/>
    <n v="0.27449183862026488"/>
  </r>
  <r>
    <s v="ORD0605"/>
    <d v="2024-10-21T00:00:00"/>
    <s v="CUST0605"/>
    <s v="Neha"/>
    <s v="Female"/>
    <n v="23"/>
    <s v="Pune"/>
    <x v="0"/>
    <s v="Home Office"/>
    <x v="1"/>
    <s v="Credit Card"/>
    <s v="Pending"/>
    <n v="5"/>
    <n v="17832"/>
    <n v="89160"/>
    <n v="16682.87"/>
    <n v="0.18711159712875727"/>
  </r>
  <r>
    <s v="ORD0606"/>
    <d v="2024-03-26T00:00:00"/>
    <s v="CUST0606"/>
    <s v="Rohan"/>
    <s v="Female"/>
    <n v="49"/>
    <s v="Chennai"/>
    <x v="0"/>
    <s v="Consumer"/>
    <x v="4"/>
    <s v="Cash on Delivery"/>
    <s v="Pending"/>
    <n v="1"/>
    <n v="18989"/>
    <n v="18989"/>
    <n v="6840.27"/>
    <n v="0.36022276054557906"/>
  </r>
  <r>
    <s v="ORD0607"/>
    <d v="2024-07-18T00:00:00"/>
    <s v="CUST0607"/>
    <s v="Rohan"/>
    <s v="Female"/>
    <n v="59"/>
    <s v="Hyderabad"/>
    <x v="0"/>
    <s v="Home Office"/>
    <x v="1"/>
    <s v="UPI"/>
    <s v="Pending"/>
    <n v="1"/>
    <n v="39079"/>
    <n v="39079"/>
    <n v="13286.1"/>
    <n v="0.33998055221474449"/>
  </r>
  <r>
    <s v="ORD0608"/>
    <d v="2024-10-29T00:00:00"/>
    <s v="CUST0608"/>
    <s v="Rohan"/>
    <s v="Female"/>
    <n v="55"/>
    <s v="Hyderabad"/>
    <x v="0"/>
    <s v="Consumer"/>
    <x v="0"/>
    <s v="UPI"/>
    <s v="Returned"/>
    <n v="3"/>
    <n v="10364"/>
    <n v="31092"/>
    <n v="8422.23"/>
    <n v="0.27088093400231572"/>
  </r>
  <r>
    <s v="ORD0609"/>
    <d v="2024-07-20T00:00:00"/>
    <s v="CUST0609"/>
    <s v="Amit"/>
    <s v="Male"/>
    <n v="59"/>
    <s v="Delhi"/>
    <x v="0"/>
    <s v="Home Office"/>
    <x v="3"/>
    <s v="UPI"/>
    <s v="Returned"/>
    <n v="4"/>
    <n v="3480"/>
    <n v="11832"/>
    <n v="3804.38"/>
    <n v="0.32153313049357674"/>
  </r>
  <r>
    <s v="ORD0610"/>
    <d v="2024-09-12T00:00:00"/>
    <s v="CUST0610"/>
    <s v="Rahul"/>
    <s v="Male"/>
    <n v="60"/>
    <s v="Pune"/>
    <x v="0"/>
    <s v="Consumer"/>
    <x v="2"/>
    <s v="Credit Card"/>
    <s v="Cancelled"/>
    <n v="4"/>
    <n v="24103"/>
    <n v="77129.600000000006"/>
    <n v="30228.26"/>
    <n v="0.39191516616188848"/>
  </r>
  <r>
    <s v="ORD0611"/>
    <d v="2024-03-01T00:00:00"/>
    <s v="CUST0611"/>
    <s v="Pooja"/>
    <s v="Male"/>
    <n v="49"/>
    <s v="Pune"/>
    <x v="1"/>
    <s v="Corporate"/>
    <x v="2"/>
    <s v="UPI"/>
    <s v="Delivered"/>
    <n v="2"/>
    <n v="35546"/>
    <n v="63982.8"/>
    <n v="10561.59"/>
    <n v="0.16506920609913914"/>
  </r>
  <r>
    <s v="ORD0612"/>
    <d v="2024-11-12T00:00:00"/>
    <s v="CUST0612"/>
    <s v="Vikram"/>
    <s v="Female"/>
    <n v="60"/>
    <s v="Pune"/>
    <x v="0"/>
    <s v="Corporate"/>
    <x v="3"/>
    <s v="Cash on Delivery"/>
    <s v="Cancelled"/>
    <n v="2"/>
    <n v="45698"/>
    <n v="91396"/>
    <n v="25642.17"/>
    <n v="0.28056118429690574"/>
  </r>
  <r>
    <s v="ORD0613"/>
    <d v="2024-01-09T00:00:00"/>
    <s v="CUST0613"/>
    <s v="Ananya"/>
    <s v="Female"/>
    <n v="52"/>
    <s v="Mumbai"/>
    <x v="0"/>
    <s v="Home Office"/>
    <x v="3"/>
    <s v="Debit Card"/>
    <s v="Pending"/>
    <n v="3"/>
    <n v="19058"/>
    <n v="45739.199999999997"/>
    <n v="11011.18"/>
    <n v="0.24073836009374894"/>
  </r>
  <r>
    <s v="ORD0614"/>
    <d v="2024-01-06T00:00:00"/>
    <s v="CUST0614"/>
    <s v="Rahul"/>
    <s v="Male"/>
    <n v="45"/>
    <s v="Pune"/>
    <x v="0"/>
    <s v="Consumer"/>
    <x v="2"/>
    <s v="Credit Card"/>
    <s v="Delivered"/>
    <n v="4"/>
    <n v="22898"/>
    <n v="82432.800000000003"/>
    <n v="21177.61"/>
    <n v="0.25690756592036179"/>
  </r>
  <r>
    <s v="ORD0615"/>
    <d v="2024-03-15T00:00:00"/>
    <s v="CUST0615"/>
    <s v="Rahul"/>
    <s v="Female"/>
    <n v="58"/>
    <s v="Chennai"/>
    <x v="1"/>
    <s v="Corporate"/>
    <x v="1"/>
    <s v="Cash on Delivery"/>
    <s v="Delivered"/>
    <n v="5"/>
    <n v="43821"/>
    <n v="208149.75"/>
    <n v="53539.73"/>
    <n v="0.25721736394110489"/>
  </r>
  <r>
    <s v="ORD0616"/>
    <d v="2024-05-20T00:00:00"/>
    <s v="CUST0616"/>
    <s v="Pooja"/>
    <s v="Female"/>
    <n v="60"/>
    <s v="Delhi"/>
    <x v="0"/>
    <s v="Home Office"/>
    <x v="0"/>
    <s v="UPI"/>
    <s v="Pending"/>
    <n v="4"/>
    <n v="15631"/>
    <n v="59397.8"/>
    <n v="10914.92"/>
    <n v="0.18375966786648662"/>
  </r>
  <r>
    <s v="ORD0617"/>
    <d v="2024-04-12T00:00:00"/>
    <s v="CUST0617"/>
    <s v="Vikram"/>
    <s v="Female"/>
    <n v="44"/>
    <s v="Chennai"/>
    <x v="0"/>
    <s v="Home Office"/>
    <x v="3"/>
    <s v="Debit Card"/>
    <s v="Pending"/>
    <n v="4"/>
    <n v="22257"/>
    <n v="80125.2"/>
    <n v="19285.189999999999"/>
    <n v="0.24068819797017665"/>
  </r>
  <r>
    <s v="ORD0618"/>
    <d v="2024-11-24T00:00:00"/>
    <s v="CUST0618"/>
    <s v="Aarav"/>
    <s v="Male"/>
    <n v="32"/>
    <s v="Chennai"/>
    <x v="0"/>
    <s v="Corporate"/>
    <x v="2"/>
    <s v="UPI"/>
    <s v="Cancelled"/>
    <n v="4"/>
    <n v="36279"/>
    <n v="137860.20000000001"/>
    <n v="51502.080000000002"/>
    <n v="0.37358193300169301"/>
  </r>
  <r>
    <s v="ORD0619"/>
    <d v="2024-01-08T00:00:00"/>
    <s v="CUST0619"/>
    <s v="Aarav"/>
    <s v="Male"/>
    <n v="37"/>
    <s v="Chennai"/>
    <x v="0"/>
    <s v="Home Office"/>
    <x v="1"/>
    <s v="Credit Card"/>
    <s v="Pending"/>
    <n v="2"/>
    <n v="47252"/>
    <n v="94504"/>
    <n v="29003.29"/>
    <n v="0.30690013121137732"/>
  </r>
  <r>
    <s v="ORD0620"/>
    <d v="2024-09-02T00:00:00"/>
    <s v="CUST0620"/>
    <s v="Priya"/>
    <s v="Male"/>
    <n v="19"/>
    <s v="Pune"/>
    <x v="0"/>
    <s v="Consumer"/>
    <x v="3"/>
    <s v="Cash on Delivery"/>
    <s v="Pending"/>
    <n v="1"/>
    <n v="7716"/>
    <n v="6944.4"/>
    <n v="2459.65"/>
    <n v="0.35419186682794773"/>
  </r>
  <r>
    <s v="ORD0621"/>
    <d v="2024-11-09T00:00:00"/>
    <s v="CUST0621"/>
    <s v="Amit"/>
    <s v="Male"/>
    <n v="52"/>
    <s v="Bangalore"/>
    <x v="0"/>
    <s v="Consumer"/>
    <x v="4"/>
    <s v="Cash on Delivery"/>
    <s v="Delivered"/>
    <n v="5"/>
    <n v="32560"/>
    <n v="130240"/>
    <n v="31115.91"/>
    <n v="0.23891208538083539"/>
  </r>
  <r>
    <s v="ORD0622"/>
    <d v="2024-01-27T00:00:00"/>
    <s v="CUST0622"/>
    <s v="Neha"/>
    <s v="Female"/>
    <n v="28"/>
    <s v="Chennai"/>
    <x v="0"/>
    <s v="Corporate"/>
    <x v="3"/>
    <s v="Cash on Delivery"/>
    <s v="Returned"/>
    <n v="5"/>
    <n v="37949"/>
    <n v="170770.5"/>
    <n v="29050.2"/>
    <n v="0.17011251943397718"/>
  </r>
  <r>
    <s v="ORD0623"/>
    <d v="2024-11-09T00:00:00"/>
    <s v="CUST0623"/>
    <s v="Neha"/>
    <s v="Male"/>
    <n v="45"/>
    <s v="Mumbai"/>
    <x v="1"/>
    <s v="Home Office"/>
    <x v="2"/>
    <s v="Debit Card"/>
    <s v="Delivered"/>
    <n v="2"/>
    <n v="28061"/>
    <n v="50509.8"/>
    <n v="19326.2"/>
    <n v="0.38262277815394241"/>
  </r>
  <r>
    <s v="ORD0624"/>
    <d v="2024-05-08T00:00:00"/>
    <s v="CUST0624"/>
    <s v="Pooja"/>
    <s v="Male"/>
    <n v="36"/>
    <s v="Chennai"/>
    <x v="1"/>
    <s v="Home Office"/>
    <x v="1"/>
    <s v="Cash on Delivery"/>
    <s v="Pending"/>
    <n v="3"/>
    <n v="35994"/>
    <n v="86385.600000000006"/>
    <n v="19699.310000000001"/>
    <n v="0.22803927969476395"/>
  </r>
  <r>
    <s v="ORD0625"/>
    <d v="2024-02-09T00:00:00"/>
    <s v="CUST0625"/>
    <s v="Neha"/>
    <s v="Male"/>
    <n v="30"/>
    <s v="Mumbai"/>
    <x v="2"/>
    <s v="Home Office"/>
    <x v="1"/>
    <s v="Debit Card"/>
    <s v="Delivered"/>
    <n v="3"/>
    <n v="47709"/>
    <n v="143127"/>
    <n v="34113.01"/>
    <n v="0.23834084414540935"/>
  </r>
  <r>
    <s v="ORD0626"/>
    <d v="2024-03-17T00:00:00"/>
    <s v="CUST0626"/>
    <s v="Rohan"/>
    <s v="Female"/>
    <n v="21"/>
    <s v="Mumbai"/>
    <x v="1"/>
    <s v="Home Office"/>
    <x v="2"/>
    <s v="Debit Card"/>
    <s v="Returned"/>
    <n v="4"/>
    <n v="40581"/>
    <n v="146091.6"/>
    <n v="43985.43"/>
    <n v="0.30108117099135062"/>
  </r>
  <r>
    <s v="ORD0627"/>
    <d v="2024-01-20T00:00:00"/>
    <s v="CUST0627"/>
    <s v="Pooja"/>
    <s v="Female"/>
    <n v="46"/>
    <s v="Hyderabad"/>
    <x v="0"/>
    <s v="Consumer"/>
    <x v="0"/>
    <s v="Net Banking"/>
    <s v="Cancelled"/>
    <n v="4"/>
    <n v="10828"/>
    <n v="34649.599999999999"/>
    <n v="13367.62"/>
    <n v="0.38579435260435913"/>
  </r>
  <r>
    <s v="ORD0628"/>
    <d v="2024-03-23T00:00:00"/>
    <s v="CUST0628"/>
    <s v="Amit"/>
    <s v="Female"/>
    <n v="21"/>
    <s v="Bangalore"/>
    <x v="0"/>
    <s v="Home Office"/>
    <x v="4"/>
    <s v="Net Banking"/>
    <s v="Delivered"/>
    <n v="1"/>
    <n v="45761"/>
    <n v="43472.95"/>
    <n v="16134.88"/>
    <n v="0.37114757567636886"/>
  </r>
  <r>
    <s v="ORD0629"/>
    <d v="2024-10-22T00:00:00"/>
    <s v="CUST0629"/>
    <s v="Rohan"/>
    <s v="Female"/>
    <n v="49"/>
    <s v="Hyderabad"/>
    <x v="0"/>
    <s v="Consumer"/>
    <x v="3"/>
    <s v="Cash on Delivery"/>
    <s v="Cancelled"/>
    <n v="5"/>
    <n v="44723"/>
    <n v="212434.25"/>
    <n v="72536.289999999994"/>
    <n v="0.34145289660212508"/>
  </r>
  <r>
    <s v="ORD0630"/>
    <d v="2024-04-04T00:00:00"/>
    <s v="CUST0630"/>
    <s v="Ananya"/>
    <s v="Female"/>
    <n v="43"/>
    <s v="Delhi"/>
    <x v="0"/>
    <s v="Home Office"/>
    <x v="2"/>
    <s v="Debit Card"/>
    <s v="Delivered"/>
    <n v="1"/>
    <n v="39278"/>
    <n v="39278"/>
    <n v="15567.72"/>
    <n v="0.39634706451448648"/>
  </r>
  <r>
    <s v="ORD0631"/>
    <d v="2024-07-23T00:00:00"/>
    <s v="CUST0631"/>
    <s v="Ananya"/>
    <s v="Female"/>
    <n v="42"/>
    <s v="Pune"/>
    <x v="1"/>
    <s v="Corporate"/>
    <x v="2"/>
    <s v="Credit Card"/>
    <s v="Returned"/>
    <n v="5"/>
    <n v="46311"/>
    <n v="219977.25"/>
    <n v="37552.99"/>
    <n v="0.17071306237349543"/>
  </r>
  <r>
    <s v="ORD0632"/>
    <d v="2024-01-08T00:00:00"/>
    <s v="CUST0632"/>
    <s v="Pooja"/>
    <s v="Male"/>
    <n v="36"/>
    <s v="Hyderabad"/>
    <x v="0"/>
    <s v="Consumer"/>
    <x v="4"/>
    <s v="Credit Card"/>
    <s v="Pending"/>
    <n v="3"/>
    <n v="5774"/>
    <n v="13857.6"/>
    <n v="2251.64"/>
    <n v="0.16248412423507677"/>
  </r>
  <r>
    <s v="ORD0633"/>
    <d v="2024-04-15T00:00:00"/>
    <s v="CUST0633"/>
    <s v="Pooja"/>
    <s v="Male"/>
    <n v="21"/>
    <s v="Bangalore"/>
    <x v="0"/>
    <s v="Consumer"/>
    <x v="3"/>
    <s v="Credit Card"/>
    <s v="Cancelled"/>
    <n v="5"/>
    <n v="37756"/>
    <n v="169902"/>
    <n v="47239.29"/>
    <n v="0.27803845746371436"/>
  </r>
  <r>
    <s v="ORD0634"/>
    <d v="2024-12-28T00:00:00"/>
    <s v="CUST0634"/>
    <s v="Rohan"/>
    <s v="Female"/>
    <n v="51"/>
    <s v="Pune"/>
    <x v="0"/>
    <s v="Corporate"/>
    <x v="1"/>
    <s v="UPI"/>
    <s v="Cancelled"/>
    <n v="1"/>
    <n v="10370"/>
    <n v="10370"/>
    <n v="2266.7600000000002"/>
    <n v="0.21858823529411767"/>
  </r>
  <r>
    <s v="ORD0635"/>
    <d v="2024-08-24T00:00:00"/>
    <s v="CUST0635"/>
    <s v="Neha"/>
    <s v="Female"/>
    <n v="35"/>
    <s v="Hyderabad"/>
    <x v="0"/>
    <s v="Consumer"/>
    <x v="0"/>
    <s v="Credit Card"/>
    <s v="Delivered"/>
    <n v="5"/>
    <n v="4516"/>
    <n v="18064"/>
    <n v="6696.36"/>
    <n v="0.37070194862710359"/>
  </r>
  <r>
    <s v="ORD0636"/>
    <d v="2024-01-06T00:00:00"/>
    <s v="CUST0636"/>
    <s v="Priya"/>
    <s v="Female"/>
    <n v="55"/>
    <s v="Delhi"/>
    <x v="0"/>
    <s v="Consumer"/>
    <x v="2"/>
    <s v="Cash on Delivery"/>
    <s v="Pending"/>
    <n v="4"/>
    <n v="38078"/>
    <n v="137080.79999999999"/>
    <n v="53880.69"/>
    <n v="0.39305788994520025"/>
  </r>
  <r>
    <s v="ORD0637"/>
    <d v="2024-12-14T00:00:00"/>
    <s v="CUST0637"/>
    <s v="Rohan"/>
    <s v="Female"/>
    <n v="47"/>
    <s v="Chennai"/>
    <x v="0"/>
    <s v="Home Office"/>
    <x v="0"/>
    <s v="Cash on Delivery"/>
    <s v="Pending"/>
    <n v="3"/>
    <n v="44100"/>
    <n v="125685"/>
    <n v="24917.45"/>
    <n v="0.19825317261407488"/>
  </r>
  <r>
    <s v="ORD0638"/>
    <d v="2024-01-06T00:00:00"/>
    <s v="CUST0638"/>
    <s v="Aarav"/>
    <s v="Female"/>
    <n v="57"/>
    <s v="Hyderabad"/>
    <x v="2"/>
    <s v="Home Office"/>
    <x v="4"/>
    <s v="Credit Card"/>
    <s v="Pending"/>
    <n v="4"/>
    <n v="27246"/>
    <n v="92636.4"/>
    <n v="16851.48"/>
    <n v="0.18190991877922719"/>
  </r>
  <r>
    <s v="ORD0639"/>
    <d v="2024-04-12T00:00:00"/>
    <s v="CUST0639"/>
    <s v="Vikram"/>
    <s v="Male"/>
    <n v="31"/>
    <s v="Bangalore"/>
    <x v="0"/>
    <s v="Consumer"/>
    <x v="3"/>
    <s v="UPI"/>
    <s v="Delivered"/>
    <n v="2"/>
    <n v="47499"/>
    <n v="94998"/>
    <n v="28924.639999999999"/>
    <n v="0.30447630476431081"/>
  </r>
  <r>
    <s v="ORD0640"/>
    <d v="2024-05-07T00:00:00"/>
    <s v="CUST0640"/>
    <s v="Sneha"/>
    <s v="Male"/>
    <n v="31"/>
    <s v="Hyderabad"/>
    <x v="0"/>
    <s v="Consumer"/>
    <x v="2"/>
    <s v="Net Banking"/>
    <s v="Pending"/>
    <n v="2"/>
    <n v="25590"/>
    <n v="46062"/>
    <n v="9795.34"/>
    <n v="0.21265555121358171"/>
  </r>
  <r>
    <s v="ORD0641"/>
    <d v="2024-07-20T00:00:00"/>
    <s v="CUST0641"/>
    <s v="Aarav"/>
    <s v="Male"/>
    <n v="41"/>
    <s v="Delhi"/>
    <x v="2"/>
    <s v="Corporate"/>
    <x v="4"/>
    <s v="Credit Card"/>
    <s v="Cancelled"/>
    <n v="4"/>
    <n v="23419"/>
    <n v="88992.2"/>
    <n v="23289.88"/>
    <n v="0.26170698106126156"/>
  </r>
  <r>
    <s v="ORD0642"/>
    <d v="2024-06-17T00:00:00"/>
    <s v="CUST0642"/>
    <s v="Aarav"/>
    <s v="Female"/>
    <n v="47"/>
    <s v="Chennai"/>
    <x v="0"/>
    <s v="Consumer"/>
    <x v="2"/>
    <s v="Cash on Delivery"/>
    <s v="Delivered"/>
    <n v="5"/>
    <n v="33810"/>
    <n v="152145"/>
    <n v="58646.05"/>
    <n v="0.38546156626901973"/>
  </r>
  <r>
    <s v="ORD0643"/>
    <d v="2024-01-04T00:00:00"/>
    <s v="CUST0643"/>
    <s v="Priya"/>
    <s v="Male"/>
    <n v="52"/>
    <s v="Chennai"/>
    <x v="0"/>
    <s v="Consumer"/>
    <x v="1"/>
    <s v="Cash on Delivery"/>
    <s v="Pending"/>
    <n v="5"/>
    <n v="16004"/>
    <n v="76019"/>
    <n v="25702.41"/>
    <n v="0.33810507899340952"/>
  </r>
  <r>
    <s v="ORD0644"/>
    <d v="2024-09-02T00:00:00"/>
    <s v="CUST0644"/>
    <s v="Aarav"/>
    <s v="Female"/>
    <n v="55"/>
    <s v="Hyderabad"/>
    <x v="1"/>
    <s v="Home Office"/>
    <x v="2"/>
    <s v="Debit Card"/>
    <s v="Returned"/>
    <n v="4"/>
    <n v="33170"/>
    <n v="112778"/>
    <n v="25926.16"/>
    <n v="0.22988668002624627"/>
  </r>
  <r>
    <s v="ORD0645"/>
    <d v="2024-09-19T00:00:00"/>
    <s v="CUST0645"/>
    <s v="Sneha"/>
    <s v="Male"/>
    <n v="32"/>
    <s v="Hyderabad"/>
    <x v="2"/>
    <s v="Consumer"/>
    <x v="0"/>
    <s v="Debit Card"/>
    <s v="Delivered"/>
    <n v="5"/>
    <n v="25240"/>
    <n v="126200"/>
    <n v="38545.11"/>
    <n v="0.30542876386687795"/>
  </r>
  <r>
    <s v="ORD0646"/>
    <d v="2024-07-01T00:00:00"/>
    <s v="CUST0646"/>
    <s v="Aarav"/>
    <s v="Female"/>
    <n v="44"/>
    <s v="Mumbai"/>
    <x v="2"/>
    <s v="Consumer"/>
    <x v="0"/>
    <s v="UPI"/>
    <s v="Returned"/>
    <n v="5"/>
    <n v="5781"/>
    <n v="28905"/>
    <n v="8981.7999999999993"/>
    <n v="0.31073516692613734"/>
  </r>
  <r>
    <s v="ORD0647"/>
    <d v="2024-07-13T00:00:00"/>
    <s v="CUST0647"/>
    <s v="Amit"/>
    <s v="Male"/>
    <n v="35"/>
    <s v="Bangalore"/>
    <x v="1"/>
    <s v="Home Office"/>
    <x v="4"/>
    <s v="Debit Card"/>
    <s v="Cancelled"/>
    <n v="4"/>
    <n v="1333"/>
    <n v="4798.8"/>
    <n v="1458.9"/>
    <n v="0.30401350337584399"/>
  </r>
  <r>
    <s v="ORD0648"/>
    <d v="2024-09-18T00:00:00"/>
    <s v="CUST0648"/>
    <s v="Neha"/>
    <s v="Female"/>
    <n v="55"/>
    <s v="Mumbai"/>
    <x v="2"/>
    <s v="Corporate"/>
    <x v="4"/>
    <s v="UPI"/>
    <s v="Cancelled"/>
    <n v="3"/>
    <n v="15553"/>
    <n v="39660.15"/>
    <n v="12187.19"/>
    <n v="0.30729056748398581"/>
  </r>
  <r>
    <s v="ORD0649"/>
    <d v="2024-07-10T00:00:00"/>
    <s v="CUST0649"/>
    <s v="Sneha"/>
    <s v="Female"/>
    <n v="57"/>
    <s v="Delhi"/>
    <x v="0"/>
    <s v="Home Office"/>
    <x v="2"/>
    <s v="Debit Card"/>
    <s v="Cancelled"/>
    <n v="5"/>
    <n v="13473"/>
    <n v="60628.5"/>
    <n v="23783.439999999999"/>
    <n v="0.39228151776804637"/>
  </r>
  <r>
    <s v="ORD0650"/>
    <d v="2024-03-13T00:00:00"/>
    <s v="CUST0650"/>
    <s v="Rohan"/>
    <s v="Female"/>
    <n v="59"/>
    <s v="Mumbai"/>
    <x v="2"/>
    <s v="Home Office"/>
    <x v="0"/>
    <s v="Net Banking"/>
    <s v="Pending"/>
    <n v="5"/>
    <n v="16521"/>
    <n v="82605"/>
    <n v="31792.959999999999"/>
    <n v="0.38487936565583197"/>
  </r>
  <r>
    <s v="ORD0651"/>
    <d v="2024-04-26T00:00:00"/>
    <s v="CUST0651"/>
    <s v="Ananya"/>
    <s v="Female"/>
    <n v="26"/>
    <s v="Hyderabad"/>
    <x v="1"/>
    <s v="Corporate"/>
    <x v="1"/>
    <s v="Net Banking"/>
    <s v="Returned"/>
    <n v="4"/>
    <n v="27175"/>
    <n v="97830"/>
    <n v="27654.76"/>
    <n v="0.28268179495042417"/>
  </r>
  <r>
    <s v="ORD0652"/>
    <d v="2024-08-12T00:00:00"/>
    <s v="CUST0652"/>
    <s v="Sneha"/>
    <s v="Male"/>
    <n v="21"/>
    <s v="Bangalore"/>
    <x v="2"/>
    <s v="Home Office"/>
    <x v="4"/>
    <s v="Net Banking"/>
    <s v="Pending"/>
    <n v="2"/>
    <n v="47220"/>
    <n v="75552"/>
    <n v="20444.05"/>
    <n v="0.27059574862346464"/>
  </r>
  <r>
    <s v="ORD0653"/>
    <d v="2024-08-30T00:00:00"/>
    <s v="CUST0653"/>
    <s v="Pooja"/>
    <s v="Female"/>
    <n v="52"/>
    <s v="Hyderabad"/>
    <x v="2"/>
    <s v="Home Office"/>
    <x v="4"/>
    <s v="Net Banking"/>
    <s v="Returned"/>
    <n v="2"/>
    <n v="14175"/>
    <n v="22680"/>
    <n v="5988.61"/>
    <n v="0.26404805996472663"/>
  </r>
  <r>
    <s v="ORD0654"/>
    <d v="2024-09-20T00:00:00"/>
    <s v="CUST0654"/>
    <s v="Ananya"/>
    <s v="Male"/>
    <n v="45"/>
    <s v="Delhi"/>
    <x v="0"/>
    <s v="Corporate"/>
    <x v="2"/>
    <s v="Net Banking"/>
    <s v="Delivered"/>
    <n v="3"/>
    <n v="17430"/>
    <n v="52290"/>
    <n v="8631.1"/>
    <n v="0.16506215337540639"/>
  </r>
  <r>
    <s v="ORD0655"/>
    <d v="2024-06-13T00:00:00"/>
    <s v="CUST0655"/>
    <s v="Vikram"/>
    <s v="Male"/>
    <n v="56"/>
    <s v="Chennai"/>
    <x v="2"/>
    <s v="Corporate"/>
    <x v="4"/>
    <s v="UPI"/>
    <s v="Delivered"/>
    <n v="1"/>
    <n v="9748"/>
    <n v="7798.4"/>
    <n v="2739.84"/>
    <n v="0.35133360689372184"/>
  </r>
  <r>
    <s v="ORD0656"/>
    <d v="2024-03-23T00:00:00"/>
    <s v="CUST0656"/>
    <s v="Sneha"/>
    <s v="Male"/>
    <n v="56"/>
    <s v="Bangalore"/>
    <x v="0"/>
    <s v="Home Office"/>
    <x v="0"/>
    <s v="Cash on Delivery"/>
    <s v="Cancelled"/>
    <n v="4"/>
    <n v="28980"/>
    <n v="98532"/>
    <n v="25883.759999999998"/>
    <n v="0.26269394714407501"/>
  </r>
  <r>
    <s v="ORD0657"/>
    <d v="2024-11-20T00:00:00"/>
    <s v="CUST0657"/>
    <s v="Neha"/>
    <s v="Female"/>
    <n v="46"/>
    <s v="Pune"/>
    <x v="0"/>
    <s v="Consumer"/>
    <x v="4"/>
    <s v="Credit Card"/>
    <s v="Delivered"/>
    <n v="4"/>
    <n v="40008"/>
    <n v="152030.39999999999"/>
    <n v="41192.980000000003"/>
    <n v="0.27095225691703767"/>
  </r>
  <r>
    <s v="ORD0658"/>
    <d v="2024-03-01T00:00:00"/>
    <s v="CUST0658"/>
    <s v="Priya"/>
    <s v="Male"/>
    <n v="29"/>
    <s v="Delhi"/>
    <x v="0"/>
    <s v="Home Office"/>
    <x v="0"/>
    <s v="Credit Card"/>
    <s v="Delivered"/>
    <n v="4"/>
    <n v="40917"/>
    <n v="163668"/>
    <n v="43310.07"/>
    <n v="0.2646214898452966"/>
  </r>
  <r>
    <s v="ORD0659"/>
    <d v="2024-06-29T00:00:00"/>
    <s v="CUST0659"/>
    <s v="Aarav"/>
    <s v="Female"/>
    <n v="37"/>
    <s v="Hyderabad"/>
    <x v="0"/>
    <s v="Home Office"/>
    <x v="3"/>
    <s v="Debit Card"/>
    <s v="Pending"/>
    <n v="5"/>
    <n v="28917"/>
    <n v="137355.75"/>
    <n v="32489.200000000001"/>
    <n v="0.23653323577644184"/>
  </r>
  <r>
    <s v="ORD0660"/>
    <d v="2024-02-22T00:00:00"/>
    <s v="CUST0660"/>
    <s v="Priya"/>
    <s v="Male"/>
    <n v="20"/>
    <s v="Hyderabad"/>
    <x v="0"/>
    <s v="Consumer"/>
    <x v="0"/>
    <s v="Cash on Delivery"/>
    <s v="Pending"/>
    <n v="4"/>
    <n v="15786"/>
    <n v="63144"/>
    <n v="18224.439999999999"/>
    <n v="0.2886171291017357"/>
  </r>
  <r>
    <s v="ORD0661"/>
    <d v="2024-12-26T00:00:00"/>
    <s v="CUST0661"/>
    <s v="Rohan"/>
    <s v="Female"/>
    <n v="28"/>
    <s v="Delhi"/>
    <x v="2"/>
    <s v="Home Office"/>
    <x v="2"/>
    <s v="Net Banking"/>
    <s v="Delivered"/>
    <n v="1"/>
    <n v="18212"/>
    <n v="14569.6"/>
    <n v="3459.2"/>
    <n v="0.23742587305073576"/>
  </r>
  <r>
    <s v="ORD0662"/>
    <d v="2024-06-04T00:00:00"/>
    <s v="CUST0662"/>
    <s v="Pooja"/>
    <s v="Male"/>
    <n v="52"/>
    <s v="Mumbai"/>
    <x v="1"/>
    <s v="Corporate"/>
    <x v="1"/>
    <s v="Net Banking"/>
    <s v="Cancelled"/>
    <n v="1"/>
    <n v="8515"/>
    <n v="6812"/>
    <n v="2541.75"/>
    <n v="0.37312830299471522"/>
  </r>
  <r>
    <s v="ORD0663"/>
    <d v="2024-09-17T00:00:00"/>
    <s v="CUST0663"/>
    <s v="Aarav"/>
    <s v="Female"/>
    <n v="44"/>
    <s v="Chennai"/>
    <x v="2"/>
    <s v="Consumer"/>
    <x v="3"/>
    <s v="Cash on Delivery"/>
    <s v="Returned"/>
    <n v="4"/>
    <n v="46111"/>
    <n v="147555.20000000001"/>
    <n v="54205.84"/>
    <n v="0.36735974062588095"/>
  </r>
  <r>
    <s v="ORD0664"/>
    <d v="2024-11-12T00:00:00"/>
    <s v="CUST0664"/>
    <s v="Priya"/>
    <s v="Male"/>
    <n v="34"/>
    <s v="Chennai"/>
    <x v="2"/>
    <s v="Corporate"/>
    <x v="2"/>
    <s v="UPI"/>
    <s v="Delivered"/>
    <n v="1"/>
    <n v="19906"/>
    <n v="15924.8"/>
    <n v="4907.24"/>
    <n v="0.30815080880136642"/>
  </r>
  <r>
    <s v="ORD0665"/>
    <d v="2024-06-03T00:00:00"/>
    <s v="CUST0665"/>
    <s v="Rohan"/>
    <s v="Male"/>
    <n v="22"/>
    <s v="Hyderabad"/>
    <x v="1"/>
    <s v="Corporate"/>
    <x v="2"/>
    <s v="Credit Card"/>
    <s v="Returned"/>
    <n v="1"/>
    <n v="18828"/>
    <n v="16945.2"/>
    <n v="5397.35"/>
    <n v="0.31851792838089843"/>
  </r>
  <r>
    <s v="ORD0666"/>
    <d v="2024-06-16T00:00:00"/>
    <s v="CUST0666"/>
    <s v="Amit"/>
    <s v="Male"/>
    <n v="58"/>
    <s v="Delhi"/>
    <x v="1"/>
    <s v="Home Office"/>
    <x v="1"/>
    <s v="Credit Card"/>
    <s v="Delivered"/>
    <n v="5"/>
    <n v="22243"/>
    <n v="100093.5"/>
    <n v="31222.27"/>
    <n v="0.31193104447341735"/>
  </r>
  <r>
    <s v="ORD0667"/>
    <d v="2024-05-25T00:00:00"/>
    <s v="CUST0667"/>
    <s v="Vikram"/>
    <s v="Male"/>
    <n v="53"/>
    <s v="Pune"/>
    <x v="0"/>
    <s v="Corporate"/>
    <x v="4"/>
    <s v="UPI"/>
    <s v="Pending"/>
    <n v="1"/>
    <n v="3580"/>
    <n v="3580"/>
    <n v="663.58"/>
    <n v="0.18535754189944134"/>
  </r>
  <r>
    <s v="ORD0668"/>
    <d v="2024-06-12T00:00:00"/>
    <s v="CUST0668"/>
    <s v="Amit"/>
    <s v="Male"/>
    <n v="58"/>
    <s v="Hyderabad"/>
    <x v="2"/>
    <s v="Corporate"/>
    <x v="3"/>
    <s v="Debit Card"/>
    <s v="Delivered"/>
    <n v="4"/>
    <n v="39258"/>
    <n v="125625.60000000001"/>
    <n v="33004.910000000003"/>
    <n v="0.26272439693820371"/>
  </r>
  <r>
    <s v="ORD0669"/>
    <d v="2024-11-11T00:00:00"/>
    <s v="CUST0669"/>
    <s v="Vikram"/>
    <s v="Female"/>
    <n v="53"/>
    <s v="Hyderabad"/>
    <x v="0"/>
    <s v="Consumer"/>
    <x v="4"/>
    <s v="Credit Card"/>
    <s v="Pending"/>
    <n v="1"/>
    <n v="19086"/>
    <n v="16223.1"/>
    <n v="3471.64"/>
    <n v="0.21399362637227162"/>
  </r>
  <r>
    <s v="ORD0670"/>
    <d v="2024-10-01T00:00:00"/>
    <s v="CUST0670"/>
    <s v="Priya"/>
    <s v="Male"/>
    <n v="37"/>
    <s v="Chennai"/>
    <x v="0"/>
    <s v="Consumer"/>
    <x v="4"/>
    <s v="Credit Card"/>
    <s v="Delivered"/>
    <n v="5"/>
    <n v="48182"/>
    <n v="228864.5"/>
    <n v="74871.289999999994"/>
    <n v="0.32714243580808727"/>
  </r>
  <r>
    <s v="ORD0671"/>
    <d v="2024-06-11T00:00:00"/>
    <s v="CUST0671"/>
    <s v="Rohan"/>
    <s v="Male"/>
    <n v="57"/>
    <s v="Pune"/>
    <x v="0"/>
    <s v="Corporate"/>
    <x v="1"/>
    <s v="Net Banking"/>
    <s v="Delivered"/>
    <n v="5"/>
    <n v="10026"/>
    <n v="47623.5"/>
    <n v="12251.68"/>
    <n v="0.25726122607536195"/>
  </r>
  <r>
    <s v="ORD0672"/>
    <d v="2024-03-14T00:00:00"/>
    <s v="CUST0672"/>
    <s v="Aarav"/>
    <s v="Male"/>
    <n v="49"/>
    <s v="Bangalore"/>
    <x v="0"/>
    <s v="Consumer"/>
    <x v="4"/>
    <s v="Credit Card"/>
    <s v="Cancelled"/>
    <n v="3"/>
    <n v="46132"/>
    <n v="110716.8"/>
    <n v="34265.32"/>
    <n v="0.30948618457180843"/>
  </r>
  <r>
    <s v="ORD0673"/>
    <d v="2024-09-22T00:00:00"/>
    <s v="CUST0673"/>
    <s v="Sneha"/>
    <s v="Male"/>
    <n v="47"/>
    <s v="Mumbai"/>
    <x v="0"/>
    <s v="Home Office"/>
    <x v="0"/>
    <s v="Credit Card"/>
    <s v="Delivered"/>
    <n v="5"/>
    <n v="3838"/>
    <n v="18230.5"/>
    <n v="3728.47"/>
    <n v="0.20451825237925453"/>
  </r>
  <r>
    <s v="ORD0674"/>
    <d v="2024-07-06T00:00:00"/>
    <s v="CUST0674"/>
    <s v="Ananya"/>
    <s v="Male"/>
    <n v="41"/>
    <s v="Pune"/>
    <x v="2"/>
    <s v="Home Office"/>
    <x v="4"/>
    <s v="Cash on Delivery"/>
    <s v="Returned"/>
    <n v="1"/>
    <n v="16375"/>
    <n v="15556.25"/>
    <n v="6221.41"/>
    <n v="0.39992993169947771"/>
  </r>
  <r>
    <s v="ORD0675"/>
    <d v="2024-11-26T00:00:00"/>
    <s v="CUST0675"/>
    <s v="Amit"/>
    <s v="Male"/>
    <n v="40"/>
    <s v="Delhi"/>
    <x v="0"/>
    <s v="Corporate"/>
    <x v="3"/>
    <s v="Cash on Delivery"/>
    <s v="Returned"/>
    <n v="4"/>
    <n v="1721"/>
    <n v="6195.6"/>
    <n v="1142.0899999999999"/>
    <n v="0.18433888566079151"/>
  </r>
  <r>
    <s v="ORD0676"/>
    <d v="2024-04-12T00:00:00"/>
    <s v="CUST0676"/>
    <s v="Rohan"/>
    <s v="Female"/>
    <n v="39"/>
    <s v="Mumbai"/>
    <x v="0"/>
    <s v="Consumer"/>
    <x v="2"/>
    <s v="UPI"/>
    <s v="Cancelled"/>
    <n v="5"/>
    <n v="43250"/>
    <n v="216250"/>
    <n v="66176.58"/>
    <n v="0.30601886705202314"/>
  </r>
  <r>
    <s v="ORD0677"/>
    <d v="2024-09-15T00:00:00"/>
    <s v="CUST0677"/>
    <s v="Neha"/>
    <s v="Male"/>
    <n v="21"/>
    <s v="Mumbai"/>
    <x v="0"/>
    <s v="Consumer"/>
    <x v="2"/>
    <s v="Net Banking"/>
    <s v="Pending"/>
    <n v="5"/>
    <n v="15265"/>
    <n v="68692.5"/>
    <n v="23358.57"/>
    <n v="0.34004541980565561"/>
  </r>
  <r>
    <s v="ORD0678"/>
    <d v="2024-07-29T00:00:00"/>
    <s v="CUST0678"/>
    <s v="Ananya"/>
    <s v="Male"/>
    <n v="28"/>
    <s v="Hyderabad"/>
    <x v="1"/>
    <s v="Consumer"/>
    <x v="4"/>
    <s v="Credit Card"/>
    <s v="Delivered"/>
    <n v="3"/>
    <n v="35202"/>
    <n v="100325.7"/>
    <n v="16336.96"/>
    <n v="0.16283923261935873"/>
  </r>
  <r>
    <s v="ORD0679"/>
    <d v="2024-09-26T00:00:00"/>
    <s v="CUST0679"/>
    <s v="Priya"/>
    <s v="Female"/>
    <n v="38"/>
    <s v="Delhi"/>
    <x v="0"/>
    <s v="Home Office"/>
    <x v="0"/>
    <s v="Debit Card"/>
    <s v="Returned"/>
    <n v="2"/>
    <n v="11523"/>
    <n v="20741.400000000001"/>
    <n v="7606.65"/>
    <n v="0.36673753941392573"/>
  </r>
  <r>
    <s v="ORD0680"/>
    <d v="2024-01-19T00:00:00"/>
    <s v="CUST0680"/>
    <s v="Pooja"/>
    <s v="Male"/>
    <n v="58"/>
    <s v="Pune"/>
    <x v="2"/>
    <s v="Consumer"/>
    <x v="1"/>
    <s v="Net Banking"/>
    <s v="Delivered"/>
    <n v="3"/>
    <n v="7212"/>
    <n v="19472.400000000001"/>
    <n v="3499.93"/>
    <n v="0.17973798812678454"/>
  </r>
  <r>
    <s v="ORD0681"/>
    <d v="2024-11-28T00:00:00"/>
    <s v="CUST0681"/>
    <s v="Amit"/>
    <s v="Male"/>
    <n v="39"/>
    <s v="Mumbai"/>
    <x v="1"/>
    <s v="Home Office"/>
    <x v="4"/>
    <s v="UPI"/>
    <s v="Pending"/>
    <n v="5"/>
    <n v="3764"/>
    <n v="15997"/>
    <n v="2484.9299999999998"/>
    <n v="0.15533725073451271"/>
  </r>
  <r>
    <s v="ORD0682"/>
    <d v="2024-05-15T00:00:00"/>
    <s v="CUST0682"/>
    <s v="Rohan"/>
    <s v="Male"/>
    <n v="57"/>
    <s v="Mumbai"/>
    <x v="2"/>
    <s v="Corporate"/>
    <x v="3"/>
    <s v="Credit Card"/>
    <s v="Delivered"/>
    <n v="3"/>
    <n v="21336"/>
    <n v="57607.199999999997"/>
    <n v="14709.45"/>
    <n v="0.25534047827354917"/>
  </r>
  <r>
    <s v="ORD0683"/>
    <d v="2024-01-02T00:00:00"/>
    <s v="CUST0683"/>
    <s v="Neha"/>
    <s v="Female"/>
    <n v="28"/>
    <s v="Bangalore"/>
    <x v="0"/>
    <s v="Home Office"/>
    <x v="1"/>
    <s v="Cash on Delivery"/>
    <s v="Returned"/>
    <n v="3"/>
    <n v="40384"/>
    <n v="102979.2"/>
    <n v="17863.560000000001"/>
    <n v="0.17346765171995901"/>
  </r>
  <r>
    <s v="ORD0684"/>
    <d v="2024-07-17T00:00:00"/>
    <s v="CUST0684"/>
    <s v="Neha"/>
    <s v="Female"/>
    <n v="37"/>
    <s v="Pune"/>
    <x v="0"/>
    <s v="Consumer"/>
    <x v="4"/>
    <s v="Credit Card"/>
    <s v="Delivered"/>
    <n v="4"/>
    <n v="42921"/>
    <n v="145931.4"/>
    <n v="30477.63"/>
    <n v="0.20884902084129942"/>
  </r>
  <r>
    <s v="ORD0685"/>
    <d v="2024-09-03T00:00:00"/>
    <s v="CUST0685"/>
    <s v="Rahul"/>
    <s v="Male"/>
    <n v="54"/>
    <s v="Bangalore"/>
    <x v="1"/>
    <s v="Home Office"/>
    <x v="2"/>
    <s v="Cash on Delivery"/>
    <s v="Cancelled"/>
    <n v="5"/>
    <n v="46438"/>
    <n v="232190"/>
    <n v="48673.83"/>
    <n v="0.20962931220121453"/>
  </r>
  <r>
    <s v="ORD0686"/>
    <d v="2024-12-24T00:00:00"/>
    <s v="CUST0686"/>
    <s v="Pooja"/>
    <s v="Male"/>
    <n v="27"/>
    <s v="Hyderabad"/>
    <x v="0"/>
    <s v="Home Office"/>
    <x v="1"/>
    <s v="Debit Card"/>
    <s v="Returned"/>
    <n v="5"/>
    <n v="10121"/>
    <n v="50605"/>
    <n v="11491.87"/>
    <n v="0.22708961565062744"/>
  </r>
  <r>
    <s v="ORD0687"/>
    <d v="2024-01-20T00:00:00"/>
    <s v="CUST0687"/>
    <s v="Vikram"/>
    <s v="Male"/>
    <n v="47"/>
    <s v="Mumbai"/>
    <x v="0"/>
    <s v="Corporate"/>
    <x v="0"/>
    <s v="Credit Card"/>
    <s v="Pending"/>
    <n v="3"/>
    <n v="1366"/>
    <n v="3483.3"/>
    <n v="891.2"/>
    <n v="0.25584933827117962"/>
  </r>
  <r>
    <s v="ORD0688"/>
    <d v="2024-07-11T00:00:00"/>
    <s v="CUST0688"/>
    <s v="Priya"/>
    <s v="Female"/>
    <n v="19"/>
    <s v="Delhi"/>
    <x v="0"/>
    <s v="Home Office"/>
    <x v="2"/>
    <s v="Cash on Delivery"/>
    <s v="Delivered"/>
    <n v="3"/>
    <n v="26659"/>
    <n v="71979.3"/>
    <n v="20546.98"/>
    <n v="0.28545679104964899"/>
  </r>
  <r>
    <s v="ORD0689"/>
    <d v="2024-09-03T00:00:00"/>
    <s v="CUST0689"/>
    <s v="Rahul"/>
    <s v="Female"/>
    <n v="43"/>
    <s v="Mumbai"/>
    <x v="0"/>
    <s v="Home Office"/>
    <x v="4"/>
    <s v="Net Banking"/>
    <s v="Cancelled"/>
    <n v="3"/>
    <n v="6894"/>
    <n v="18613.8"/>
    <n v="4918.54"/>
    <n v="0.26424158420096916"/>
  </r>
  <r>
    <s v="ORD0690"/>
    <d v="2024-07-20T00:00:00"/>
    <s v="CUST0690"/>
    <s v="Amit"/>
    <s v="Female"/>
    <n v="23"/>
    <s v="Mumbai"/>
    <x v="0"/>
    <s v="Home Office"/>
    <x v="2"/>
    <s v="UPI"/>
    <s v="Pending"/>
    <n v="4"/>
    <n v="39165"/>
    <n v="125328"/>
    <n v="44220.98"/>
    <n v="0.35284198263755906"/>
  </r>
  <r>
    <s v="ORD0691"/>
    <d v="2024-12-22T00:00:00"/>
    <s v="CUST0691"/>
    <s v="Sneha"/>
    <s v="Female"/>
    <n v="53"/>
    <s v="Bangalore"/>
    <x v="0"/>
    <s v="Consumer"/>
    <x v="2"/>
    <s v="Net Banking"/>
    <s v="Returned"/>
    <n v="1"/>
    <n v="15085"/>
    <n v="12822.25"/>
    <n v="3050.07"/>
    <n v="0.23787322817758194"/>
  </r>
  <r>
    <s v="ORD0692"/>
    <d v="2024-01-13T00:00:00"/>
    <s v="CUST0692"/>
    <s v="Aarav"/>
    <s v="Female"/>
    <n v="25"/>
    <s v="Chennai"/>
    <x v="0"/>
    <s v="Home Office"/>
    <x v="2"/>
    <s v="UPI"/>
    <s v="Cancelled"/>
    <n v="4"/>
    <n v="38173"/>
    <n v="145057.4"/>
    <n v="55742.12"/>
    <n v="0.38427629338454988"/>
  </r>
  <r>
    <s v="ORD0693"/>
    <d v="2024-07-23T00:00:00"/>
    <s v="CUST0693"/>
    <s v="Priya"/>
    <s v="Female"/>
    <n v="56"/>
    <s v="Chennai"/>
    <x v="2"/>
    <s v="Consumer"/>
    <x v="3"/>
    <s v="Net Banking"/>
    <s v="Cancelled"/>
    <n v="5"/>
    <n v="35027"/>
    <n v="175135"/>
    <n v="46689.89"/>
    <n v="0.26659371342107518"/>
  </r>
  <r>
    <s v="ORD0694"/>
    <d v="2024-02-01T00:00:00"/>
    <s v="CUST0694"/>
    <s v="Neha"/>
    <s v="Male"/>
    <n v="51"/>
    <s v="Chennai"/>
    <x v="0"/>
    <s v="Home Office"/>
    <x v="1"/>
    <s v="Debit Card"/>
    <s v="Pending"/>
    <n v="2"/>
    <n v="15518"/>
    <n v="26380.6"/>
    <n v="9297.2000000000007"/>
    <n v="0.35242564611873883"/>
  </r>
  <r>
    <s v="ORD0695"/>
    <d v="2024-11-06T00:00:00"/>
    <s v="CUST0695"/>
    <s v="Amit"/>
    <s v="Female"/>
    <n v="30"/>
    <s v="Chennai"/>
    <x v="2"/>
    <s v="Consumer"/>
    <x v="3"/>
    <s v="Debit Card"/>
    <s v="Cancelled"/>
    <n v="4"/>
    <n v="4696"/>
    <n v="16905.599999999999"/>
    <n v="6053.78"/>
    <n v="0.35809317622562942"/>
  </r>
  <r>
    <s v="ORD0696"/>
    <d v="2024-10-22T00:00:00"/>
    <s v="CUST0696"/>
    <s v="Ananya"/>
    <s v="Female"/>
    <n v="25"/>
    <s v="Bangalore"/>
    <x v="2"/>
    <s v="Consumer"/>
    <x v="0"/>
    <s v="Debit Card"/>
    <s v="Returned"/>
    <n v="1"/>
    <n v="29909"/>
    <n v="28413.55"/>
    <n v="11092.93"/>
    <n v="0.39040985726880312"/>
  </r>
  <r>
    <s v="ORD0697"/>
    <d v="2024-11-03T00:00:00"/>
    <s v="CUST0697"/>
    <s v="Amit"/>
    <s v="Male"/>
    <n v="39"/>
    <s v="Hyderabad"/>
    <x v="2"/>
    <s v="Corporate"/>
    <x v="1"/>
    <s v="Cash on Delivery"/>
    <s v="Returned"/>
    <n v="5"/>
    <n v="16220"/>
    <n v="68935"/>
    <n v="17733.79"/>
    <n v="0.25725378980198738"/>
  </r>
  <r>
    <s v="ORD0698"/>
    <d v="2024-02-23T00:00:00"/>
    <s v="CUST0698"/>
    <s v="Rahul"/>
    <s v="Female"/>
    <n v="18"/>
    <s v="Pune"/>
    <x v="0"/>
    <s v="Home Office"/>
    <x v="1"/>
    <s v="UPI"/>
    <s v="Returned"/>
    <n v="3"/>
    <n v="23766"/>
    <n v="64168.2"/>
    <n v="17010.59"/>
    <n v="0.26509376918785321"/>
  </r>
  <r>
    <s v="ORD0699"/>
    <d v="2024-03-27T00:00:00"/>
    <s v="CUST0699"/>
    <s v="Ananya"/>
    <s v="Male"/>
    <n v="47"/>
    <s v="Delhi"/>
    <x v="0"/>
    <s v="Corporate"/>
    <x v="3"/>
    <s v="Net Banking"/>
    <s v="Delivered"/>
    <n v="1"/>
    <n v="37597"/>
    <n v="30077.599999999999"/>
    <n v="10720.85"/>
    <n v="0.35643967603798177"/>
  </r>
  <r>
    <s v="ORD0700"/>
    <d v="2024-06-06T00:00:00"/>
    <s v="CUST0700"/>
    <s v="Priya"/>
    <s v="Male"/>
    <n v="40"/>
    <s v="Delhi"/>
    <x v="2"/>
    <s v="Corporate"/>
    <x v="2"/>
    <s v="Debit Card"/>
    <s v="Pending"/>
    <n v="5"/>
    <n v="37256"/>
    <n v="167652"/>
    <n v="58020.62"/>
    <n v="0.34607770858683468"/>
  </r>
  <r>
    <s v="ORD0701"/>
    <d v="2024-07-10T00:00:00"/>
    <s v="CUST0701"/>
    <s v="Pooja"/>
    <s v="Male"/>
    <n v="26"/>
    <s v="Hyderabad"/>
    <x v="0"/>
    <s v="Corporate"/>
    <x v="3"/>
    <s v="Debit Card"/>
    <s v="Pending"/>
    <n v="1"/>
    <n v="33110"/>
    <n v="26488"/>
    <n v="4379.46"/>
    <n v="0.16533751132588342"/>
  </r>
  <r>
    <s v="ORD0702"/>
    <d v="2024-08-08T00:00:00"/>
    <s v="CUST0702"/>
    <s v="Priya"/>
    <s v="Female"/>
    <n v="24"/>
    <s v="Pune"/>
    <x v="0"/>
    <s v="Corporate"/>
    <x v="1"/>
    <s v="Credit Card"/>
    <s v="Delivered"/>
    <n v="1"/>
    <n v="32941"/>
    <n v="27999.85"/>
    <n v="7755.29"/>
    <n v="0.2769761266578214"/>
  </r>
  <r>
    <s v="ORD0703"/>
    <d v="2024-01-11T00:00:00"/>
    <s v="CUST0703"/>
    <s v="Amit"/>
    <s v="Male"/>
    <n v="57"/>
    <s v="Mumbai"/>
    <x v="2"/>
    <s v="Corporate"/>
    <x v="2"/>
    <s v="UPI"/>
    <s v="Delivered"/>
    <n v="3"/>
    <n v="11969"/>
    <n v="35907"/>
    <n v="10066.67"/>
    <n v="0.28035396997799872"/>
  </r>
  <r>
    <s v="ORD0704"/>
    <d v="2024-07-12T00:00:00"/>
    <s v="CUST0704"/>
    <s v="Rohan"/>
    <s v="Male"/>
    <n v="28"/>
    <s v="Bangalore"/>
    <x v="0"/>
    <s v="Corporate"/>
    <x v="2"/>
    <s v="Cash on Delivery"/>
    <s v="Returned"/>
    <n v="5"/>
    <n v="45316"/>
    <n v="192593"/>
    <n v="71753.679999999993"/>
    <n v="0.37256639649416123"/>
  </r>
  <r>
    <s v="ORD0705"/>
    <d v="2024-08-10T00:00:00"/>
    <s v="CUST0705"/>
    <s v="Pooja"/>
    <s v="Female"/>
    <n v="20"/>
    <s v="Bangalore"/>
    <x v="0"/>
    <s v="Consumer"/>
    <x v="2"/>
    <s v="Cash on Delivery"/>
    <s v="Delivered"/>
    <n v="1"/>
    <n v="30709"/>
    <n v="30709"/>
    <n v="8338.4699999999993"/>
    <n v="0.27153179849555503"/>
  </r>
  <r>
    <s v="ORD0706"/>
    <d v="2024-03-06T00:00:00"/>
    <s v="CUST0706"/>
    <s v="Priya"/>
    <s v="Male"/>
    <n v="18"/>
    <s v="Delhi"/>
    <x v="0"/>
    <s v="Home Office"/>
    <x v="0"/>
    <s v="Debit Card"/>
    <s v="Cancelled"/>
    <n v="1"/>
    <n v="45101"/>
    <n v="42845.95"/>
    <n v="9914.9699999999993"/>
    <n v="0.2314097365095184"/>
  </r>
  <r>
    <s v="ORD0707"/>
    <d v="2024-02-21T00:00:00"/>
    <s v="CUST0707"/>
    <s v="Ananya"/>
    <s v="Female"/>
    <n v="30"/>
    <s v="Hyderabad"/>
    <x v="0"/>
    <s v="Corporate"/>
    <x v="3"/>
    <s v="Credit Card"/>
    <s v="Delivered"/>
    <n v="2"/>
    <n v="11574"/>
    <n v="19675.8"/>
    <n v="3812.06"/>
    <n v="0.19374358348834608"/>
  </r>
  <r>
    <s v="ORD0708"/>
    <d v="2024-04-15T00:00:00"/>
    <s v="CUST0708"/>
    <s v="Sneha"/>
    <s v="Female"/>
    <n v="57"/>
    <s v="Delhi"/>
    <x v="2"/>
    <s v="Corporate"/>
    <x v="4"/>
    <s v="Debit Card"/>
    <s v="Returned"/>
    <n v="3"/>
    <n v="5409"/>
    <n v="13792.95"/>
    <n v="4316.03"/>
    <n v="0.31291565618667505"/>
  </r>
  <r>
    <s v="ORD0709"/>
    <d v="2024-02-22T00:00:00"/>
    <s v="CUST0709"/>
    <s v="Ananya"/>
    <s v="Female"/>
    <n v="47"/>
    <s v="Delhi"/>
    <x v="2"/>
    <s v="Consumer"/>
    <x v="2"/>
    <s v="Credit Card"/>
    <s v="Cancelled"/>
    <n v="4"/>
    <n v="19040"/>
    <n v="60928"/>
    <n v="10188.41"/>
    <n v="0.16722048975840337"/>
  </r>
  <r>
    <s v="ORD0710"/>
    <d v="2024-01-06T00:00:00"/>
    <s v="CUST0710"/>
    <s v="Amit"/>
    <s v="Male"/>
    <n v="42"/>
    <s v="Hyderabad"/>
    <x v="1"/>
    <s v="Consumer"/>
    <x v="0"/>
    <s v="Credit Card"/>
    <s v="Returned"/>
    <n v="2"/>
    <n v="19923"/>
    <n v="37853.699999999997"/>
    <n v="11912.06"/>
    <n v="0.31468680736625482"/>
  </r>
  <r>
    <s v="ORD0711"/>
    <d v="2024-07-07T00:00:00"/>
    <s v="CUST0711"/>
    <s v="Pooja"/>
    <s v="Male"/>
    <n v="51"/>
    <s v="Mumbai"/>
    <x v="2"/>
    <s v="Consumer"/>
    <x v="0"/>
    <s v="Net Banking"/>
    <s v="Cancelled"/>
    <n v="2"/>
    <n v="5994"/>
    <n v="10789.2"/>
    <n v="2784"/>
    <n v="0.25803581359136912"/>
  </r>
  <r>
    <s v="ORD0712"/>
    <d v="2024-06-23T00:00:00"/>
    <s v="CUST0712"/>
    <s v="Sneha"/>
    <s v="Male"/>
    <n v="35"/>
    <s v="Mumbai"/>
    <x v="0"/>
    <s v="Consumer"/>
    <x v="0"/>
    <s v="UPI"/>
    <s v="Delivered"/>
    <n v="1"/>
    <n v="30632"/>
    <n v="26037.200000000001"/>
    <n v="5879.72"/>
    <n v="0.2258199806430799"/>
  </r>
  <r>
    <s v="ORD0713"/>
    <d v="2024-08-22T00:00:00"/>
    <s v="CUST0713"/>
    <s v="Ananya"/>
    <s v="Male"/>
    <n v="56"/>
    <s v="Mumbai"/>
    <x v="0"/>
    <s v="Home Office"/>
    <x v="2"/>
    <s v="UPI"/>
    <s v="Pending"/>
    <n v="2"/>
    <n v="17226"/>
    <n v="29284.2"/>
    <n v="6806.95"/>
    <n v="0.2324444581036873"/>
  </r>
  <r>
    <s v="ORD0714"/>
    <d v="2024-07-09T00:00:00"/>
    <s v="CUST0714"/>
    <s v="Ananya"/>
    <s v="Female"/>
    <n v="42"/>
    <s v="Delhi"/>
    <x v="0"/>
    <s v="Corporate"/>
    <x v="4"/>
    <s v="Credit Card"/>
    <s v="Pending"/>
    <n v="5"/>
    <n v="41882"/>
    <n v="209410"/>
    <n v="45650.11"/>
    <n v="0.21799393534215175"/>
  </r>
  <r>
    <s v="ORD0715"/>
    <d v="2024-01-09T00:00:00"/>
    <s v="CUST0715"/>
    <s v="Pooja"/>
    <s v="Female"/>
    <n v="40"/>
    <s v="Pune"/>
    <x v="1"/>
    <s v="Corporate"/>
    <x v="2"/>
    <s v="Cash on Delivery"/>
    <s v="Pending"/>
    <n v="5"/>
    <n v="49151"/>
    <n v="233467.25"/>
    <n v="75488.09"/>
    <n v="0.32333481462603425"/>
  </r>
  <r>
    <s v="ORD0716"/>
    <d v="2024-08-16T00:00:00"/>
    <s v="CUST0716"/>
    <s v="Amit"/>
    <s v="Male"/>
    <n v="30"/>
    <s v="Pune"/>
    <x v="0"/>
    <s v="Home Office"/>
    <x v="2"/>
    <s v="Debit Card"/>
    <s v="Cancelled"/>
    <n v="3"/>
    <n v="30526"/>
    <n v="77841.3"/>
    <n v="26132.48"/>
    <n v="0.335714845461214"/>
  </r>
  <r>
    <s v="ORD0717"/>
    <d v="2024-11-18T00:00:00"/>
    <s v="CUST0717"/>
    <s v="Amit"/>
    <s v="Female"/>
    <n v="41"/>
    <s v="Pune"/>
    <x v="0"/>
    <s v="Consumer"/>
    <x v="0"/>
    <s v="Credit Card"/>
    <s v="Returned"/>
    <n v="1"/>
    <n v="19026"/>
    <n v="18074.7"/>
    <n v="7130.44"/>
    <n v="0.39449838724847436"/>
  </r>
  <r>
    <s v="ORD0718"/>
    <d v="2024-03-05T00:00:00"/>
    <s v="CUST0718"/>
    <s v="Ananya"/>
    <s v="Male"/>
    <n v="45"/>
    <s v="Delhi"/>
    <x v="0"/>
    <s v="Corporate"/>
    <x v="4"/>
    <s v="Cash on Delivery"/>
    <s v="Delivered"/>
    <n v="1"/>
    <n v="9296"/>
    <n v="8831.2000000000007"/>
    <n v="1919.48"/>
    <n v="0.2173521152278286"/>
  </r>
  <r>
    <s v="ORD0719"/>
    <d v="2024-05-28T00:00:00"/>
    <s v="CUST0719"/>
    <s v="Vikram"/>
    <s v="Male"/>
    <n v="21"/>
    <s v="Hyderabad"/>
    <x v="2"/>
    <s v="Home Office"/>
    <x v="0"/>
    <s v="UPI"/>
    <s v="Returned"/>
    <n v="1"/>
    <n v="6388"/>
    <n v="6068.6"/>
    <n v="1607.88"/>
    <n v="0.26495072998714697"/>
  </r>
  <r>
    <s v="ORD0720"/>
    <d v="2024-01-14T00:00:00"/>
    <s v="CUST0720"/>
    <s v="Priya"/>
    <s v="Female"/>
    <n v="45"/>
    <s v="Delhi"/>
    <x v="2"/>
    <s v="Corporate"/>
    <x v="3"/>
    <s v="UPI"/>
    <s v="Delivered"/>
    <n v="3"/>
    <n v="36469"/>
    <n v="98466.3"/>
    <n v="15938.1"/>
    <n v="0.16186350050728016"/>
  </r>
  <r>
    <s v="ORD0721"/>
    <d v="2024-01-20T00:00:00"/>
    <s v="CUST0721"/>
    <s v="Amit"/>
    <s v="Male"/>
    <n v="19"/>
    <s v="Pune"/>
    <x v="0"/>
    <s v="Home Office"/>
    <x v="0"/>
    <s v="Cash on Delivery"/>
    <s v="Pending"/>
    <n v="2"/>
    <n v="3173"/>
    <n v="6346"/>
    <n v="2010.18"/>
    <n v="0.31676331547431452"/>
  </r>
  <r>
    <s v="ORD0722"/>
    <d v="2024-06-27T00:00:00"/>
    <s v="CUST0722"/>
    <s v="Vikram"/>
    <s v="Male"/>
    <n v="52"/>
    <s v="Hyderabad"/>
    <x v="2"/>
    <s v="Corporate"/>
    <x v="0"/>
    <s v="Credit Card"/>
    <s v="Returned"/>
    <n v="4"/>
    <n v="49482"/>
    <n v="158342.39999999999"/>
    <n v="49215.98"/>
    <n v="0.31081996988804012"/>
  </r>
  <r>
    <s v="ORD0723"/>
    <d v="2024-11-20T00:00:00"/>
    <s v="CUST0723"/>
    <s v="Ananya"/>
    <s v="Male"/>
    <n v="38"/>
    <s v="Mumbai"/>
    <x v="0"/>
    <s v="Home Office"/>
    <x v="1"/>
    <s v="Cash on Delivery"/>
    <s v="Cancelled"/>
    <n v="2"/>
    <n v="29909"/>
    <n v="59818"/>
    <n v="16186.09"/>
    <n v="0.27058895315791232"/>
  </r>
  <r>
    <s v="ORD0724"/>
    <d v="2024-11-23T00:00:00"/>
    <s v="CUST0724"/>
    <s v="Sneha"/>
    <s v="Male"/>
    <n v="42"/>
    <s v="Bangalore"/>
    <x v="0"/>
    <s v="Consumer"/>
    <x v="0"/>
    <s v="Cash on Delivery"/>
    <s v="Pending"/>
    <n v="5"/>
    <n v="48878"/>
    <n v="207731.5"/>
    <n v="49175.82"/>
    <n v="0.23672779525493245"/>
  </r>
  <r>
    <s v="ORD0725"/>
    <d v="2024-11-08T00:00:00"/>
    <s v="CUST0725"/>
    <s v="Rahul"/>
    <s v="Female"/>
    <n v="37"/>
    <s v="Pune"/>
    <x v="1"/>
    <s v="Corporate"/>
    <x v="3"/>
    <s v="Cash on Delivery"/>
    <s v="Returned"/>
    <n v="5"/>
    <n v="46046"/>
    <n v="207207"/>
    <n v="47379.41"/>
    <n v="0.22865738126607693"/>
  </r>
  <r>
    <s v="ORD0726"/>
    <d v="2024-05-26T00:00:00"/>
    <s v="CUST0726"/>
    <s v="Rohan"/>
    <s v="Female"/>
    <n v="41"/>
    <s v="Pune"/>
    <x v="1"/>
    <s v="Corporate"/>
    <x v="0"/>
    <s v="Cash on Delivery"/>
    <s v="Delivered"/>
    <n v="2"/>
    <n v="36749"/>
    <n v="73498"/>
    <n v="25843.93"/>
    <n v="0.3516276633377779"/>
  </r>
  <r>
    <s v="ORD0727"/>
    <d v="2024-03-23T00:00:00"/>
    <s v="CUST0727"/>
    <s v="Neha"/>
    <s v="Male"/>
    <n v="30"/>
    <s v="Chennai"/>
    <x v="0"/>
    <s v="Consumer"/>
    <x v="4"/>
    <s v="Debit Card"/>
    <s v="Cancelled"/>
    <n v="4"/>
    <n v="9779"/>
    <n v="31292.799999999999"/>
    <n v="10801.53"/>
    <n v="0.34517620666734844"/>
  </r>
  <r>
    <s v="ORD0728"/>
    <d v="2024-02-09T00:00:00"/>
    <s v="CUST0728"/>
    <s v="Rahul"/>
    <s v="Female"/>
    <n v="35"/>
    <s v="Mumbai"/>
    <x v="2"/>
    <s v="Corporate"/>
    <x v="4"/>
    <s v="Cash on Delivery"/>
    <s v="Cancelled"/>
    <n v="5"/>
    <n v="45903"/>
    <n v="206563.5"/>
    <n v="40286.449999999997"/>
    <n v="0.19503179409721463"/>
  </r>
  <r>
    <s v="ORD0729"/>
    <d v="2024-11-15T00:00:00"/>
    <s v="CUST0729"/>
    <s v="Pooja"/>
    <s v="Male"/>
    <n v="21"/>
    <s v="Hyderabad"/>
    <x v="1"/>
    <s v="Corporate"/>
    <x v="1"/>
    <s v="UPI"/>
    <s v="Returned"/>
    <n v="5"/>
    <n v="6342"/>
    <n v="30124.5"/>
    <n v="11679.11"/>
    <n v="0.38769473352254813"/>
  </r>
  <r>
    <s v="ORD0730"/>
    <d v="2024-11-24T00:00:00"/>
    <s v="CUST0730"/>
    <s v="Rohan"/>
    <s v="Male"/>
    <n v="33"/>
    <s v="Chennai"/>
    <x v="0"/>
    <s v="Home Office"/>
    <x v="3"/>
    <s v="Cash on Delivery"/>
    <s v="Returned"/>
    <n v="1"/>
    <n v="23754"/>
    <n v="20190.900000000001"/>
    <n v="4929.2"/>
    <n v="0.24412978123808249"/>
  </r>
  <r>
    <s v="ORD0731"/>
    <d v="2024-06-17T00:00:00"/>
    <s v="CUST0731"/>
    <s v="Priya"/>
    <s v="Female"/>
    <n v="34"/>
    <s v="Pune"/>
    <x v="0"/>
    <s v="Corporate"/>
    <x v="1"/>
    <s v="Credit Card"/>
    <s v="Delivered"/>
    <n v="1"/>
    <n v="44080"/>
    <n v="39672"/>
    <n v="8514.51"/>
    <n v="0.21462265577737447"/>
  </r>
  <r>
    <s v="ORD0732"/>
    <d v="2024-02-03T00:00:00"/>
    <s v="CUST0732"/>
    <s v="Vikram"/>
    <s v="Female"/>
    <n v="18"/>
    <s v="Mumbai"/>
    <x v="0"/>
    <s v="Home Office"/>
    <x v="1"/>
    <s v="Cash on Delivery"/>
    <s v="Cancelled"/>
    <n v="5"/>
    <n v="11303"/>
    <n v="56515"/>
    <n v="15321.93"/>
    <n v="0.27111262496682298"/>
  </r>
  <r>
    <s v="ORD0733"/>
    <d v="2024-04-11T00:00:00"/>
    <s v="CUST0733"/>
    <s v="Rohan"/>
    <s v="Female"/>
    <n v="22"/>
    <s v="Chennai"/>
    <x v="1"/>
    <s v="Home Office"/>
    <x v="4"/>
    <s v="Debit Card"/>
    <s v="Pending"/>
    <n v="3"/>
    <n v="27460"/>
    <n v="70023"/>
    <n v="26499.69"/>
    <n v="0.37844265455636006"/>
  </r>
  <r>
    <s v="ORD0734"/>
    <d v="2024-03-31T00:00:00"/>
    <s v="CUST0734"/>
    <s v="Sneha"/>
    <s v="Male"/>
    <n v="49"/>
    <s v="Delhi"/>
    <x v="2"/>
    <s v="Home Office"/>
    <x v="0"/>
    <s v="Net Banking"/>
    <s v="Pending"/>
    <n v="1"/>
    <n v="32187"/>
    <n v="32187"/>
    <n v="12653.32"/>
    <n v="0.39311896107123995"/>
  </r>
  <r>
    <s v="ORD0735"/>
    <d v="2024-03-28T00:00:00"/>
    <s v="CUST0735"/>
    <s v="Pooja"/>
    <s v="Male"/>
    <n v="21"/>
    <s v="Hyderabad"/>
    <x v="0"/>
    <s v="Corporate"/>
    <x v="0"/>
    <s v="Cash on Delivery"/>
    <s v="Pending"/>
    <n v="2"/>
    <n v="48199"/>
    <n v="77118.399999999994"/>
    <n v="15797.05"/>
    <n v="0.20484151642150253"/>
  </r>
  <r>
    <s v="ORD0736"/>
    <d v="2024-07-23T00:00:00"/>
    <s v="CUST0736"/>
    <s v="Rahul"/>
    <s v="Male"/>
    <n v="45"/>
    <s v="Chennai"/>
    <x v="1"/>
    <s v="Corporate"/>
    <x v="0"/>
    <s v="Cash on Delivery"/>
    <s v="Pending"/>
    <n v="2"/>
    <n v="47299"/>
    <n v="85138.2"/>
    <n v="17401.66"/>
    <n v="0.20439309264231567"/>
  </r>
  <r>
    <s v="ORD0737"/>
    <d v="2024-08-18T00:00:00"/>
    <s v="CUST0737"/>
    <s v="Pooja"/>
    <s v="Male"/>
    <n v="45"/>
    <s v="Chennai"/>
    <x v="2"/>
    <s v="Home Office"/>
    <x v="4"/>
    <s v="UPI"/>
    <s v="Delivered"/>
    <n v="4"/>
    <n v="8388"/>
    <n v="31874.400000000001"/>
    <n v="5936.77"/>
    <n v="0.18625511382175036"/>
  </r>
  <r>
    <s v="ORD0738"/>
    <d v="2024-09-12T00:00:00"/>
    <s v="CUST0738"/>
    <s v="Vikram"/>
    <s v="Female"/>
    <n v="57"/>
    <s v="Bangalore"/>
    <x v="0"/>
    <s v="Corporate"/>
    <x v="0"/>
    <s v="Net Banking"/>
    <s v="Delivered"/>
    <n v="5"/>
    <n v="48151"/>
    <n v="216679.5"/>
    <n v="53405.33"/>
    <n v="0.24647153976264483"/>
  </r>
  <r>
    <s v="ORD0739"/>
    <d v="2024-05-15T00:00:00"/>
    <s v="CUST0739"/>
    <s v="Pooja"/>
    <s v="Female"/>
    <n v="46"/>
    <s v="Pune"/>
    <x v="0"/>
    <s v="Corporate"/>
    <x v="2"/>
    <s v="Debit Card"/>
    <s v="Returned"/>
    <n v="4"/>
    <n v="43710"/>
    <n v="157356"/>
    <n v="54725.68"/>
    <n v="0.34778260759043189"/>
  </r>
  <r>
    <s v="ORD0740"/>
    <d v="2024-08-27T00:00:00"/>
    <s v="CUST0740"/>
    <s v="Sneha"/>
    <s v="Male"/>
    <n v="51"/>
    <s v="Hyderabad"/>
    <x v="0"/>
    <s v="Home Office"/>
    <x v="1"/>
    <s v="Credit Card"/>
    <s v="Cancelled"/>
    <n v="4"/>
    <n v="42264"/>
    <n v="160603.20000000001"/>
    <n v="52246.3"/>
    <n v="0.3253129451966088"/>
  </r>
  <r>
    <s v="ORD0741"/>
    <d v="2024-10-26T00:00:00"/>
    <s v="CUST0741"/>
    <s v="Vikram"/>
    <s v="Male"/>
    <n v="44"/>
    <s v="Hyderabad"/>
    <x v="0"/>
    <s v="Home Office"/>
    <x v="4"/>
    <s v="Credit Card"/>
    <s v="Returned"/>
    <n v="4"/>
    <n v="7786"/>
    <n v="31144"/>
    <n v="6511.22"/>
    <n v="0.20906819933213461"/>
  </r>
  <r>
    <s v="ORD0742"/>
    <d v="2024-06-26T00:00:00"/>
    <s v="CUST0742"/>
    <s v="Pooja"/>
    <s v="Female"/>
    <n v="43"/>
    <s v="Bangalore"/>
    <x v="2"/>
    <s v="Consumer"/>
    <x v="1"/>
    <s v="Cash on Delivery"/>
    <s v="Pending"/>
    <n v="5"/>
    <n v="45333"/>
    <n v="203998.5"/>
    <n v="57282.14"/>
    <n v="0.28079686860442599"/>
  </r>
  <r>
    <s v="ORD0743"/>
    <d v="2024-10-09T00:00:00"/>
    <s v="CUST0743"/>
    <s v="Aarav"/>
    <s v="Female"/>
    <n v="32"/>
    <s v="Delhi"/>
    <x v="1"/>
    <s v="Home Office"/>
    <x v="3"/>
    <s v="Net Banking"/>
    <s v="Returned"/>
    <n v="2"/>
    <n v="2538"/>
    <n v="4822.2"/>
    <n v="1460.87"/>
    <n v="0.30294678777321554"/>
  </r>
  <r>
    <s v="ORD0744"/>
    <d v="2024-08-12T00:00:00"/>
    <s v="CUST0744"/>
    <s v="Amit"/>
    <s v="Male"/>
    <n v="23"/>
    <s v="Bangalore"/>
    <x v="1"/>
    <s v="Consumer"/>
    <x v="2"/>
    <s v="Debit Card"/>
    <s v="Pending"/>
    <n v="4"/>
    <n v="39931"/>
    <n v="135765.4"/>
    <n v="37232.120000000003"/>
    <n v="0.27423864990638264"/>
  </r>
  <r>
    <s v="ORD0745"/>
    <d v="2024-12-31T00:00:00"/>
    <s v="CUST0745"/>
    <s v="Rohan"/>
    <s v="Female"/>
    <n v="32"/>
    <s v="Hyderabad"/>
    <x v="2"/>
    <s v="Corporate"/>
    <x v="1"/>
    <s v="Credit Card"/>
    <s v="Returned"/>
    <n v="1"/>
    <n v="26061"/>
    <n v="22151.85"/>
    <n v="4170.57"/>
    <n v="0.18827185991237752"/>
  </r>
  <r>
    <s v="ORD0746"/>
    <d v="2024-12-16T00:00:00"/>
    <s v="CUST0746"/>
    <s v="Rohan"/>
    <s v="Female"/>
    <n v="30"/>
    <s v="Pune"/>
    <x v="2"/>
    <s v="Home Office"/>
    <x v="3"/>
    <s v="Debit Card"/>
    <s v="Pending"/>
    <n v="3"/>
    <n v="32454"/>
    <n v="87625.8"/>
    <n v="21158.94"/>
    <n v="0.24146929329033229"/>
  </r>
  <r>
    <s v="ORD0747"/>
    <d v="2024-02-13T00:00:00"/>
    <s v="CUST0747"/>
    <s v="Vikram"/>
    <s v="Female"/>
    <n v="30"/>
    <s v="Hyderabad"/>
    <x v="1"/>
    <s v="Consumer"/>
    <x v="4"/>
    <s v="UPI"/>
    <s v="Cancelled"/>
    <n v="2"/>
    <n v="14166"/>
    <n v="24082.2"/>
    <n v="5830.96"/>
    <n v="0.24212738038883491"/>
  </r>
  <r>
    <s v="ORD0748"/>
    <d v="2024-02-01T00:00:00"/>
    <s v="CUST0748"/>
    <s v="Ananya"/>
    <s v="Male"/>
    <n v="43"/>
    <s v="Chennai"/>
    <x v="2"/>
    <s v="Consumer"/>
    <x v="4"/>
    <s v="Debit Card"/>
    <s v="Cancelled"/>
    <n v="4"/>
    <n v="48381"/>
    <n v="154819.20000000001"/>
    <n v="33162.97"/>
    <n v="0.21420450435088154"/>
  </r>
  <r>
    <s v="ORD0749"/>
    <d v="2024-04-17T00:00:00"/>
    <s v="CUST0749"/>
    <s v="Vikram"/>
    <s v="Female"/>
    <n v="55"/>
    <s v="Bangalore"/>
    <x v="0"/>
    <s v="Home Office"/>
    <x v="4"/>
    <s v="Cash on Delivery"/>
    <s v="Cancelled"/>
    <n v="2"/>
    <n v="33969"/>
    <n v="57747.3"/>
    <n v="23003.55"/>
    <n v="0.39834849421531393"/>
  </r>
  <r>
    <s v="ORD0750"/>
    <d v="2024-07-01T00:00:00"/>
    <s v="CUST0750"/>
    <s v="Ananya"/>
    <s v="Female"/>
    <n v="48"/>
    <s v="Pune"/>
    <x v="0"/>
    <s v="Consumer"/>
    <x v="4"/>
    <s v="Net Banking"/>
    <s v="Returned"/>
    <n v="4"/>
    <n v="16678"/>
    <n v="66712"/>
    <n v="22403.83"/>
    <n v="0.33582908622136948"/>
  </r>
  <r>
    <s v="ORD0751"/>
    <d v="2024-07-27T00:00:00"/>
    <s v="CUST0751"/>
    <s v="Pooja"/>
    <s v="Male"/>
    <n v="42"/>
    <s v="Hyderabad"/>
    <x v="0"/>
    <s v="Home Office"/>
    <x v="2"/>
    <s v="Net Banking"/>
    <s v="Delivered"/>
    <n v="3"/>
    <n v="40286"/>
    <n v="96686.399999999994"/>
    <n v="22342"/>
    <n v="0.23107696635721262"/>
  </r>
  <r>
    <s v="ORD0752"/>
    <d v="2024-03-31T00:00:00"/>
    <s v="CUST0752"/>
    <s v="Pooja"/>
    <s v="Male"/>
    <n v="57"/>
    <s v="Mumbai"/>
    <x v="2"/>
    <s v="Corporate"/>
    <x v="1"/>
    <s v="Net Banking"/>
    <s v="Pending"/>
    <n v="5"/>
    <n v="45550"/>
    <n v="227750"/>
    <n v="65524.49"/>
    <n v="0.28770357848518113"/>
  </r>
  <r>
    <s v="ORD0753"/>
    <d v="2024-01-27T00:00:00"/>
    <s v="CUST0753"/>
    <s v="Ananya"/>
    <s v="Female"/>
    <n v="18"/>
    <s v="Hyderabad"/>
    <x v="0"/>
    <s v="Consumer"/>
    <x v="4"/>
    <s v="Credit Card"/>
    <s v="Cancelled"/>
    <n v="3"/>
    <n v="36936"/>
    <n v="110808"/>
    <n v="37845.019999999997"/>
    <n v="0.34153689264313042"/>
  </r>
  <r>
    <s v="ORD0754"/>
    <d v="2024-04-26T00:00:00"/>
    <s v="CUST0754"/>
    <s v="Ananya"/>
    <s v="Male"/>
    <n v="45"/>
    <s v="Chennai"/>
    <x v="0"/>
    <s v="Home Office"/>
    <x v="1"/>
    <s v="Net Banking"/>
    <s v="Cancelled"/>
    <n v="3"/>
    <n v="28505"/>
    <n v="68412"/>
    <n v="22450.7"/>
    <n v="0.3281690346722797"/>
  </r>
  <r>
    <s v="ORD0755"/>
    <d v="2024-01-17T00:00:00"/>
    <s v="CUST0755"/>
    <s v="Rohan"/>
    <s v="Male"/>
    <n v="36"/>
    <s v="Delhi"/>
    <x v="1"/>
    <s v="Home Office"/>
    <x v="3"/>
    <s v="Credit Card"/>
    <s v="Delivered"/>
    <n v="4"/>
    <n v="45690"/>
    <n v="164484"/>
    <n v="50546.3"/>
    <n v="0.30730223000413415"/>
  </r>
  <r>
    <s v="ORD0756"/>
    <d v="2024-07-10T00:00:00"/>
    <s v="CUST0756"/>
    <s v="Neha"/>
    <s v="Male"/>
    <n v="23"/>
    <s v="Mumbai"/>
    <x v="0"/>
    <s v="Consumer"/>
    <x v="0"/>
    <s v="Cash on Delivery"/>
    <s v="Pending"/>
    <n v="4"/>
    <n v="13849"/>
    <n v="49856.4"/>
    <n v="16697.740000000002"/>
    <n v="0.33491668070699049"/>
  </r>
  <r>
    <s v="ORD0757"/>
    <d v="2024-09-26T00:00:00"/>
    <s v="CUST0757"/>
    <s v="Aarav"/>
    <s v="Female"/>
    <n v="49"/>
    <s v="Delhi"/>
    <x v="0"/>
    <s v="Consumer"/>
    <x v="0"/>
    <s v="Debit Card"/>
    <s v="Returned"/>
    <n v="5"/>
    <n v="40819"/>
    <n v="183685.5"/>
    <n v="51989.8"/>
    <n v="0.28303703885173298"/>
  </r>
  <r>
    <s v="ORD0758"/>
    <d v="2024-06-01T00:00:00"/>
    <s v="CUST0758"/>
    <s v="Rohan"/>
    <s v="Male"/>
    <n v="34"/>
    <s v="Bangalore"/>
    <x v="1"/>
    <s v="Home Office"/>
    <x v="1"/>
    <s v="Cash on Delivery"/>
    <s v="Delivered"/>
    <n v="4"/>
    <n v="14644"/>
    <n v="52718.400000000001"/>
    <n v="14367.33"/>
    <n v="0.27252970499863427"/>
  </r>
  <r>
    <s v="ORD0759"/>
    <d v="2024-03-28T00:00:00"/>
    <s v="CUST0759"/>
    <s v="Pooja"/>
    <s v="Female"/>
    <n v="53"/>
    <s v="Hyderabad"/>
    <x v="2"/>
    <s v="Corporate"/>
    <x v="4"/>
    <s v="Debit Card"/>
    <s v="Delivered"/>
    <n v="3"/>
    <n v="20206"/>
    <n v="48494.400000000001"/>
    <n v="10058.32"/>
    <n v="0.20741198983800191"/>
  </r>
  <r>
    <s v="ORD0760"/>
    <d v="2024-08-24T00:00:00"/>
    <s v="CUST0760"/>
    <s v="Priya"/>
    <s v="Male"/>
    <n v="39"/>
    <s v="Bangalore"/>
    <x v="0"/>
    <s v="Home Office"/>
    <x v="3"/>
    <s v="Net Banking"/>
    <s v="Returned"/>
    <n v="1"/>
    <n v="37505"/>
    <n v="33754.5"/>
    <n v="9922.15"/>
    <n v="0.29395043623813122"/>
  </r>
  <r>
    <s v="ORD0761"/>
    <d v="2024-01-27T00:00:00"/>
    <s v="CUST0761"/>
    <s v="Neha"/>
    <s v="Female"/>
    <n v="22"/>
    <s v="Hyderabad"/>
    <x v="2"/>
    <s v="Home Office"/>
    <x v="1"/>
    <s v="Cash on Delivery"/>
    <s v="Pending"/>
    <n v="4"/>
    <n v="43127"/>
    <n v="146631.79999999999"/>
    <n v="40704.9"/>
    <n v="0.27759940203966671"/>
  </r>
  <r>
    <s v="ORD0762"/>
    <d v="2024-12-08T00:00:00"/>
    <s v="CUST0762"/>
    <s v="Amit"/>
    <s v="Female"/>
    <n v="47"/>
    <s v="Delhi"/>
    <x v="0"/>
    <s v="Consumer"/>
    <x v="2"/>
    <s v="Credit Card"/>
    <s v="Pending"/>
    <n v="1"/>
    <n v="35349"/>
    <n v="35349"/>
    <n v="6771.19"/>
    <n v="0.19155251916603014"/>
  </r>
  <r>
    <s v="ORD0763"/>
    <d v="2024-06-01T00:00:00"/>
    <s v="CUST0763"/>
    <s v="Amit"/>
    <s v="Male"/>
    <n v="30"/>
    <s v="Mumbai"/>
    <x v="0"/>
    <s v="Corporate"/>
    <x v="0"/>
    <s v="UPI"/>
    <s v="Pending"/>
    <n v="1"/>
    <n v="7004"/>
    <n v="6653.8"/>
    <n v="1369.34"/>
    <n v="0.20579819050767981"/>
  </r>
  <r>
    <s v="ORD0764"/>
    <d v="2024-01-07T00:00:00"/>
    <s v="CUST0764"/>
    <s v="Aarav"/>
    <s v="Male"/>
    <n v="46"/>
    <s v="Delhi"/>
    <x v="0"/>
    <s v="Consumer"/>
    <x v="1"/>
    <s v="Debit Card"/>
    <s v="Returned"/>
    <n v="2"/>
    <n v="20647"/>
    <n v="35099.9"/>
    <n v="12787.04"/>
    <n v="0.36430417180675728"/>
  </r>
  <r>
    <s v="ORD0765"/>
    <d v="2024-05-29T00:00:00"/>
    <s v="CUST0765"/>
    <s v="Neha"/>
    <s v="Female"/>
    <n v="43"/>
    <s v="Bangalore"/>
    <x v="0"/>
    <s v="Corporate"/>
    <x v="4"/>
    <s v="Net Banking"/>
    <s v="Cancelled"/>
    <n v="2"/>
    <n v="39491"/>
    <n v="75032.899999999994"/>
    <n v="16689.32"/>
    <n v="0.22242669548957858"/>
  </r>
  <r>
    <s v="ORD0766"/>
    <d v="2024-01-19T00:00:00"/>
    <s v="CUST0766"/>
    <s v="Ananya"/>
    <s v="Male"/>
    <n v="60"/>
    <s v="Hyderabad"/>
    <x v="2"/>
    <s v="Consumer"/>
    <x v="1"/>
    <s v="Credit Card"/>
    <s v="Returned"/>
    <n v="1"/>
    <n v="2656"/>
    <n v="2124.8000000000002"/>
    <n v="807.17"/>
    <n v="0.37988045933734932"/>
  </r>
  <r>
    <s v="ORD0767"/>
    <d v="2024-11-15T00:00:00"/>
    <s v="CUST0767"/>
    <s v="Ananya"/>
    <s v="Male"/>
    <n v="56"/>
    <s v="Delhi"/>
    <x v="0"/>
    <s v="Consumer"/>
    <x v="2"/>
    <s v="Cash on Delivery"/>
    <s v="Delivered"/>
    <n v="5"/>
    <n v="23328"/>
    <n v="110808"/>
    <n v="29825.88"/>
    <n v="0.26916720814381634"/>
  </r>
  <r>
    <s v="ORD0768"/>
    <d v="2024-09-30T00:00:00"/>
    <s v="CUST0768"/>
    <s v="Neha"/>
    <s v="Male"/>
    <n v="57"/>
    <s v="Pune"/>
    <x v="0"/>
    <s v="Corporate"/>
    <x v="4"/>
    <s v="Net Banking"/>
    <s v="Pending"/>
    <n v="4"/>
    <n v="40165"/>
    <n v="160660"/>
    <n v="44536.32"/>
    <n v="0.27720851487613596"/>
  </r>
  <r>
    <s v="ORD0769"/>
    <d v="2024-01-15T00:00:00"/>
    <s v="CUST0769"/>
    <s v="Ananya"/>
    <s v="Male"/>
    <n v="47"/>
    <s v="Bangalore"/>
    <x v="2"/>
    <s v="Home Office"/>
    <x v="4"/>
    <s v="Cash on Delivery"/>
    <s v="Cancelled"/>
    <n v="1"/>
    <n v="46506"/>
    <n v="44180.7"/>
    <n v="10610.72"/>
    <n v="0.240166407503729"/>
  </r>
  <r>
    <s v="ORD0770"/>
    <d v="2024-01-06T00:00:00"/>
    <s v="CUST0770"/>
    <s v="Pooja"/>
    <s v="Male"/>
    <n v="30"/>
    <s v="Hyderabad"/>
    <x v="0"/>
    <s v="Home Office"/>
    <x v="2"/>
    <s v="Debit Card"/>
    <s v="Returned"/>
    <n v="2"/>
    <n v="27198"/>
    <n v="43516.800000000003"/>
    <n v="14949.41"/>
    <n v="0.34353192330318405"/>
  </r>
  <r>
    <s v="ORD0771"/>
    <d v="2024-09-16T00:00:00"/>
    <s v="CUST0771"/>
    <s v="Priya"/>
    <s v="Female"/>
    <n v="54"/>
    <s v="Delhi"/>
    <x v="1"/>
    <s v="Consumer"/>
    <x v="3"/>
    <s v="Debit Card"/>
    <s v="Delivered"/>
    <n v="1"/>
    <n v="14786"/>
    <n v="13307.4"/>
    <n v="2484.87"/>
    <n v="0.18672843680959467"/>
  </r>
  <r>
    <s v="ORD0772"/>
    <d v="2024-06-25T00:00:00"/>
    <s v="CUST0772"/>
    <s v="Aarav"/>
    <s v="Female"/>
    <n v="36"/>
    <s v="Pune"/>
    <x v="0"/>
    <s v="Consumer"/>
    <x v="4"/>
    <s v="Cash on Delivery"/>
    <s v="Cancelled"/>
    <n v="4"/>
    <n v="37368"/>
    <n v="149472"/>
    <n v="51614.43"/>
    <n v="0.34531169717405269"/>
  </r>
  <r>
    <s v="ORD0773"/>
    <d v="2024-04-13T00:00:00"/>
    <s v="CUST0773"/>
    <s v="Aarav"/>
    <s v="Female"/>
    <n v="48"/>
    <s v="Hyderabad"/>
    <x v="2"/>
    <s v="Home Office"/>
    <x v="2"/>
    <s v="UPI"/>
    <s v="Returned"/>
    <n v="5"/>
    <n v="8194"/>
    <n v="36873"/>
    <n v="8440"/>
    <n v="0.22889377050958695"/>
  </r>
  <r>
    <s v="ORD0774"/>
    <d v="2024-08-08T00:00:00"/>
    <s v="CUST0774"/>
    <s v="Neha"/>
    <s v="Male"/>
    <n v="41"/>
    <s v="Hyderabad"/>
    <x v="2"/>
    <s v="Home Office"/>
    <x v="0"/>
    <s v="Cash on Delivery"/>
    <s v="Returned"/>
    <n v="1"/>
    <n v="39366"/>
    <n v="31492.799999999999"/>
    <n v="11495.04"/>
    <n v="0.36500533455265971"/>
  </r>
  <r>
    <s v="ORD0775"/>
    <d v="2024-10-04T00:00:00"/>
    <s v="CUST0775"/>
    <s v="Sneha"/>
    <s v="Male"/>
    <n v="43"/>
    <s v="Delhi"/>
    <x v="0"/>
    <s v="Corporate"/>
    <x v="4"/>
    <s v="UPI"/>
    <s v="Delivered"/>
    <n v="5"/>
    <n v="5171"/>
    <n v="25855"/>
    <n v="8049.71"/>
    <n v="0.31134055308450975"/>
  </r>
  <r>
    <s v="ORD0776"/>
    <d v="2024-11-15T00:00:00"/>
    <s v="CUST0776"/>
    <s v="Rahul"/>
    <s v="Male"/>
    <n v="53"/>
    <s v="Mumbai"/>
    <x v="0"/>
    <s v="Corporate"/>
    <x v="4"/>
    <s v="Net Banking"/>
    <s v="Delivered"/>
    <n v="5"/>
    <n v="15288"/>
    <n v="68796"/>
    <n v="20880.43"/>
    <n v="0.30351226815512528"/>
  </r>
  <r>
    <s v="ORD0777"/>
    <d v="2024-06-22T00:00:00"/>
    <s v="CUST0777"/>
    <s v="Neha"/>
    <s v="Male"/>
    <n v="44"/>
    <s v="Mumbai"/>
    <x v="2"/>
    <s v="Consumer"/>
    <x v="2"/>
    <s v="Cash on Delivery"/>
    <s v="Pending"/>
    <n v="2"/>
    <n v="14156"/>
    <n v="24065.200000000001"/>
    <n v="9399.36"/>
    <n v="0.39057892724764393"/>
  </r>
  <r>
    <s v="ORD0778"/>
    <d v="2024-07-29T00:00:00"/>
    <s v="CUST0778"/>
    <s v="Vikram"/>
    <s v="Male"/>
    <n v="33"/>
    <s v="Chennai"/>
    <x v="2"/>
    <s v="Home Office"/>
    <x v="0"/>
    <s v="Debit Card"/>
    <s v="Returned"/>
    <n v="3"/>
    <n v="25165"/>
    <n v="75495"/>
    <n v="16011.27"/>
    <n v="0.21208384661235843"/>
  </r>
  <r>
    <s v="ORD0779"/>
    <d v="2024-07-07T00:00:00"/>
    <s v="CUST0779"/>
    <s v="Priya"/>
    <s v="Female"/>
    <n v="56"/>
    <s v="Delhi"/>
    <x v="0"/>
    <s v="Consumer"/>
    <x v="2"/>
    <s v="Cash on Delivery"/>
    <s v="Pending"/>
    <n v="5"/>
    <n v="1393"/>
    <n v="6616.75"/>
    <n v="2267.19"/>
    <n v="0.34264404730419012"/>
  </r>
  <r>
    <s v="ORD0780"/>
    <d v="2024-10-16T00:00:00"/>
    <s v="CUST0780"/>
    <s v="Amit"/>
    <s v="Male"/>
    <n v="56"/>
    <s v="Pune"/>
    <x v="0"/>
    <s v="Corporate"/>
    <x v="2"/>
    <s v="UPI"/>
    <s v="Pending"/>
    <n v="2"/>
    <n v="15053"/>
    <n v="25590.1"/>
    <n v="7686.78"/>
    <n v="0.3003810067174415"/>
  </r>
  <r>
    <s v="ORD0781"/>
    <d v="2024-10-31T00:00:00"/>
    <s v="CUST0781"/>
    <s v="Priya"/>
    <s v="Male"/>
    <n v="34"/>
    <s v="Mumbai"/>
    <x v="0"/>
    <s v="Home Office"/>
    <x v="4"/>
    <s v="Credit Card"/>
    <s v="Cancelled"/>
    <n v="5"/>
    <n v="31118"/>
    <n v="147810.5"/>
    <n v="53335.88"/>
    <n v="0.36083958852720205"/>
  </r>
  <r>
    <s v="ORD0782"/>
    <d v="2024-11-23T00:00:00"/>
    <s v="CUST0782"/>
    <s v="Vikram"/>
    <s v="Female"/>
    <n v="45"/>
    <s v="Delhi"/>
    <x v="0"/>
    <s v="Home Office"/>
    <x v="1"/>
    <s v="Cash on Delivery"/>
    <s v="Returned"/>
    <n v="1"/>
    <n v="8576"/>
    <n v="8147.2"/>
    <n v="2272.9699999999998"/>
    <n v="0.27898787313432832"/>
  </r>
  <r>
    <s v="ORD0783"/>
    <d v="2024-02-11T00:00:00"/>
    <s v="CUST0783"/>
    <s v="Ananya"/>
    <s v="Female"/>
    <n v="58"/>
    <s v="Hyderabad"/>
    <x v="1"/>
    <s v="Consumer"/>
    <x v="4"/>
    <s v="UPI"/>
    <s v="Delivered"/>
    <n v="5"/>
    <n v="12157"/>
    <n v="48628"/>
    <n v="13884.8"/>
    <n v="0.28553096981163112"/>
  </r>
  <r>
    <s v="ORD0784"/>
    <d v="2024-03-13T00:00:00"/>
    <s v="CUST0784"/>
    <s v="Rahul"/>
    <s v="Female"/>
    <n v="55"/>
    <s v="Hyderabad"/>
    <x v="0"/>
    <s v="Corporate"/>
    <x v="2"/>
    <s v="UPI"/>
    <s v="Pending"/>
    <n v="1"/>
    <n v="49217"/>
    <n v="49217"/>
    <n v="8234.19"/>
    <n v="0.1673037771501717"/>
  </r>
  <r>
    <s v="ORD0785"/>
    <d v="2024-01-17T00:00:00"/>
    <s v="CUST0785"/>
    <s v="Neha"/>
    <s v="Male"/>
    <n v="38"/>
    <s v="Hyderabad"/>
    <x v="0"/>
    <s v="Home Office"/>
    <x v="0"/>
    <s v="UPI"/>
    <s v="Pending"/>
    <n v="2"/>
    <n v="32878"/>
    <n v="55892.6"/>
    <n v="12061.07"/>
    <n v="0.21579010459345244"/>
  </r>
  <r>
    <s v="ORD0786"/>
    <d v="2024-12-25T00:00:00"/>
    <s v="CUST0786"/>
    <s v="Rohan"/>
    <s v="Male"/>
    <n v="52"/>
    <s v="Pune"/>
    <x v="2"/>
    <s v="Corporate"/>
    <x v="4"/>
    <s v="Debit Card"/>
    <s v="Returned"/>
    <n v="1"/>
    <n v="4011"/>
    <n v="4011"/>
    <n v="1103.1500000000001"/>
    <n v="0.27503116429818003"/>
  </r>
  <r>
    <s v="ORD0787"/>
    <d v="2024-04-23T00:00:00"/>
    <s v="CUST0787"/>
    <s v="Ananya"/>
    <s v="Male"/>
    <n v="25"/>
    <s v="Hyderabad"/>
    <x v="0"/>
    <s v="Corporate"/>
    <x v="3"/>
    <s v="Credit Card"/>
    <s v="Delivered"/>
    <n v="1"/>
    <n v="34634"/>
    <n v="27707.200000000001"/>
    <n v="6123.36"/>
    <n v="0.22100248310908355"/>
  </r>
  <r>
    <s v="ORD0788"/>
    <d v="2024-12-12T00:00:00"/>
    <s v="CUST0788"/>
    <s v="Pooja"/>
    <s v="Female"/>
    <n v="42"/>
    <s v="Pune"/>
    <x v="0"/>
    <s v="Home Office"/>
    <x v="4"/>
    <s v="UPI"/>
    <s v="Returned"/>
    <n v="1"/>
    <n v="38306"/>
    <n v="38306"/>
    <n v="10468.91"/>
    <n v="0.27329687255260271"/>
  </r>
  <r>
    <s v="ORD0789"/>
    <d v="2024-01-24T00:00:00"/>
    <s v="CUST0789"/>
    <s v="Vikram"/>
    <s v="Female"/>
    <n v="52"/>
    <s v="Bangalore"/>
    <x v="1"/>
    <s v="Corporate"/>
    <x v="4"/>
    <s v="Cash on Delivery"/>
    <s v="Cancelled"/>
    <n v="5"/>
    <n v="13948"/>
    <n v="69740"/>
    <n v="23998.05"/>
    <n v="0.344107398910238"/>
  </r>
  <r>
    <s v="ORD0790"/>
    <d v="2024-09-13T00:00:00"/>
    <s v="CUST0790"/>
    <s v="Vikram"/>
    <s v="Female"/>
    <n v="49"/>
    <s v="Bangalore"/>
    <x v="0"/>
    <s v="Home Office"/>
    <x v="0"/>
    <s v="UPI"/>
    <s v="Cancelled"/>
    <n v="3"/>
    <n v="732"/>
    <n v="1756.8"/>
    <n v="280.11"/>
    <n v="0.15944330601092899"/>
  </r>
  <r>
    <s v="ORD0791"/>
    <d v="2024-08-25T00:00:00"/>
    <s v="CUST0791"/>
    <s v="Rahul"/>
    <s v="Male"/>
    <n v="20"/>
    <s v="Bangalore"/>
    <x v="0"/>
    <s v="Home Office"/>
    <x v="0"/>
    <s v="Debit Card"/>
    <s v="Returned"/>
    <n v="3"/>
    <n v="42774"/>
    <n v="121905.9"/>
    <n v="41300.300000000003"/>
    <n v="0.3387883605305404"/>
  </r>
  <r>
    <s v="ORD0792"/>
    <d v="2024-11-13T00:00:00"/>
    <s v="CUST0792"/>
    <s v="Aarav"/>
    <s v="Male"/>
    <n v="24"/>
    <s v="Hyderabad"/>
    <x v="0"/>
    <s v="Corporate"/>
    <x v="1"/>
    <s v="Net Banking"/>
    <s v="Delivered"/>
    <n v="4"/>
    <n v="26622"/>
    <n v="95839.2"/>
    <n v="15427.61"/>
    <n v="0.16097390211938331"/>
  </r>
  <r>
    <s v="ORD0793"/>
    <d v="2024-08-20T00:00:00"/>
    <s v="CUST0793"/>
    <s v="Neha"/>
    <s v="Male"/>
    <n v="21"/>
    <s v="Pune"/>
    <x v="0"/>
    <s v="Corporate"/>
    <x v="2"/>
    <s v="UPI"/>
    <s v="Pending"/>
    <n v="2"/>
    <n v="18821"/>
    <n v="35759.9"/>
    <n v="13595.49"/>
    <n v="0.38018814370286269"/>
  </r>
  <r>
    <s v="ORD0794"/>
    <d v="2024-05-30T00:00:00"/>
    <s v="CUST0794"/>
    <s v="Neha"/>
    <s v="Female"/>
    <n v="47"/>
    <s v="Delhi"/>
    <x v="0"/>
    <s v="Corporate"/>
    <x v="1"/>
    <s v="Debit Card"/>
    <s v="Delivered"/>
    <n v="2"/>
    <n v="34305"/>
    <n v="54888"/>
    <n v="12630.65"/>
    <n v="0.23011678326774521"/>
  </r>
  <r>
    <s v="ORD0795"/>
    <d v="2024-01-31T00:00:00"/>
    <s v="CUST0795"/>
    <s v="Sneha"/>
    <s v="Female"/>
    <n v="55"/>
    <s v="Chennai"/>
    <x v="1"/>
    <s v="Consumer"/>
    <x v="4"/>
    <s v="Credit Card"/>
    <s v="Cancelled"/>
    <n v="4"/>
    <n v="5599"/>
    <n v="17916.8"/>
    <n v="3382.17"/>
    <n v="0.18877087426326131"/>
  </r>
  <r>
    <s v="ORD0796"/>
    <d v="2024-01-02T00:00:00"/>
    <s v="CUST0796"/>
    <s v="Ananya"/>
    <s v="Male"/>
    <n v="43"/>
    <s v="Bangalore"/>
    <x v="0"/>
    <s v="Consumer"/>
    <x v="1"/>
    <s v="Debit Card"/>
    <s v="Pending"/>
    <n v="3"/>
    <n v="38073"/>
    <n v="102797.1"/>
    <n v="26972.78"/>
    <n v="0.26238853041574128"/>
  </r>
  <r>
    <s v="ORD0797"/>
    <d v="2024-02-10T00:00:00"/>
    <s v="CUST0797"/>
    <s v="Priya"/>
    <s v="Female"/>
    <n v="56"/>
    <s v="Delhi"/>
    <x v="0"/>
    <s v="Home Office"/>
    <x v="0"/>
    <s v="Cash on Delivery"/>
    <s v="Returned"/>
    <n v="4"/>
    <n v="37261"/>
    <n v="126687.4"/>
    <n v="22730.32"/>
    <n v="0.17942052642962125"/>
  </r>
  <r>
    <s v="ORD0798"/>
    <d v="2024-04-27T00:00:00"/>
    <s v="CUST0798"/>
    <s v="Rohan"/>
    <s v="Male"/>
    <n v="59"/>
    <s v="Hyderabad"/>
    <x v="2"/>
    <s v="Corporate"/>
    <x v="1"/>
    <s v="Cash on Delivery"/>
    <s v="Delivered"/>
    <n v="4"/>
    <n v="17329"/>
    <n v="62384.4"/>
    <n v="20616.59"/>
    <n v="0.3304766896852418"/>
  </r>
  <r>
    <s v="ORD0799"/>
    <d v="2024-11-10T00:00:00"/>
    <s v="CUST0799"/>
    <s v="Aarav"/>
    <s v="Male"/>
    <n v="37"/>
    <s v="Chennai"/>
    <x v="0"/>
    <s v="Corporate"/>
    <x v="0"/>
    <s v="UPI"/>
    <s v="Cancelled"/>
    <n v="3"/>
    <n v="4572"/>
    <n v="13030.2"/>
    <n v="5174.72"/>
    <n v="0.39713281453853355"/>
  </r>
  <r>
    <s v="ORD0800"/>
    <d v="2024-11-14T00:00:00"/>
    <s v="CUST0800"/>
    <s v="Vikram"/>
    <s v="Female"/>
    <n v="59"/>
    <s v="Hyderabad"/>
    <x v="2"/>
    <s v="Corporate"/>
    <x v="1"/>
    <s v="Debit Card"/>
    <s v="Cancelled"/>
    <n v="1"/>
    <n v="17486"/>
    <n v="15737.4"/>
    <n v="4251.2"/>
    <n v="0.2701335671711973"/>
  </r>
  <r>
    <s v="ORD0801"/>
    <d v="2024-10-21T00:00:00"/>
    <s v="CUST0801"/>
    <s v="Aarav"/>
    <s v="Female"/>
    <n v="41"/>
    <s v="Mumbai"/>
    <x v="1"/>
    <s v="Home Office"/>
    <x v="1"/>
    <s v="UPI"/>
    <s v="Pending"/>
    <n v="3"/>
    <n v="49638"/>
    <n v="119131.2"/>
    <n v="35781.14"/>
    <n v="0.30035070577648842"/>
  </r>
  <r>
    <s v="ORD0802"/>
    <d v="2024-04-06T00:00:00"/>
    <s v="CUST0802"/>
    <s v="Vikram"/>
    <s v="Male"/>
    <n v="57"/>
    <s v="Hyderabad"/>
    <x v="0"/>
    <s v="Consumer"/>
    <x v="0"/>
    <s v="Debit Card"/>
    <s v="Pending"/>
    <n v="1"/>
    <n v="45936"/>
    <n v="39045.599999999999"/>
    <n v="14157.99"/>
    <n v="0.36260141987829614"/>
  </r>
  <r>
    <s v="ORD0803"/>
    <d v="2024-11-21T00:00:00"/>
    <s v="CUST0803"/>
    <s v="Priya"/>
    <s v="Male"/>
    <n v="22"/>
    <s v="Delhi"/>
    <x v="0"/>
    <s v="Consumer"/>
    <x v="1"/>
    <s v="Debit Card"/>
    <s v="Cancelled"/>
    <n v="4"/>
    <n v="20550"/>
    <n v="73980"/>
    <n v="24666.65"/>
    <n v="0.33342322249256556"/>
  </r>
  <r>
    <s v="ORD0804"/>
    <d v="2024-03-14T00:00:00"/>
    <s v="CUST0804"/>
    <s v="Aarav"/>
    <s v="Female"/>
    <n v="44"/>
    <s v="Bangalore"/>
    <x v="1"/>
    <s v="Home Office"/>
    <x v="0"/>
    <s v="Cash on Delivery"/>
    <s v="Delivered"/>
    <n v="3"/>
    <n v="22328"/>
    <n v="56936.4"/>
    <n v="21678.53"/>
    <n v="0.38074992447713585"/>
  </r>
  <r>
    <s v="ORD0805"/>
    <d v="2024-12-25T00:00:00"/>
    <s v="CUST0805"/>
    <s v="Aarav"/>
    <s v="Female"/>
    <n v="46"/>
    <s v="Mumbai"/>
    <x v="1"/>
    <s v="Consumer"/>
    <x v="2"/>
    <s v="Net Banking"/>
    <s v="Delivered"/>
    <n v="1"/>
    <n v="16460"/>
    <n v="15637"/>
    <n v="4923.53"/>
    <n v="0.31486410436784545"/>
  </r>
  <r>
    <s v="ORD0806"/>
    <d v="2024-10-25T00:00:00"/>
    <s v="CUST0806"/>
    <s v="Vikram"/>
    <s v="Female"/>
    <n v="23"/>
    <s v="Pune"/>
    <x v="0"/>
    <s v="Home Office"/>
    <x v="4"/>
    <s v="Credit Card"/>
    <s v="Cancelled"/>
    <n v="4"/>
    <n v="4909"/>
    <n v="16690.599999999999"/>
    <n v="3166.02"/>
    <n v="0.18968880687332992"/>
  </r>
  <r>
    <s v="ORD0807"/>
    <d v="2024-02-28T00:00:00"/>
    <s v="CUST0807"/>
    <s v="Aarav"/>
    <s v="Female"/>
    <n v="28"/>
    <s v="Delhi"/>
    <x v="0"/>
    <s v="Home Office"/>
    <x v="0"/>
    <s v="Credit Card"/>
    <s v="Delivered"/>
    <n v="5"/>
    <n v="36408"/>
    <n v="163836"/>
    <n v="33485.230000000003"/>
    <n v="0.20438261432163873"/>
  </r>
  <r>
    <s v="ORD0808"/>
    <d v="2024-10-17T00:00:00"/>
    <s v="CUST0808"/>
    <s v="Sneha"/>
    <s v="Female"/>
    <n v="44"/>
    <s v="Hyderabad"/>
    <x v="0"/>
    <s v="Consumer"/>
    <x v="2"/>
    <s v="Cash on Delivery"/>
    <s v="Pending"/>
    <n v="1"/>
    <n v="16251"/>
    <n v="13813.35"/>
    <n v="3897.08"/>
    <n v="0.28212417697372466"/>
  </r>
  <r>
    <s v="ORD0809"/>
    <d v="2024-08-24T00:00:00"/>
    <s v="CUST0809"/>
    <s v="Priya"/>
    <s v="Male"/>
    <n v="49"/>
    <s v="Delhi"/>
    <x v="0"/>
    <s v="Corporate"/>
    <x v="4"/>
    <s v="Cash on Delivery"/>
    <s v="Delivered"/>
    <n v="4"/>
    <n v="49218"/>
    <n v="167341.20000000001"/>
    <n v="28858.79"/>
    <n v="0.17245478101029513"/>
  </r>
  <r>
    <s v="ORD0810"/>
    <d v="2024-06-11T00:00:00"/>
    <s v="CUST0810"/>
    <s v="Priya"/>
    <s v="Female"/>
    <n v="55"/>
    <s v="Pune"/>
    <x v="0"/>
    <s v="Consumer"/>
    <x v="3"/>
    <s v="Debit Card"/>
    <s v="Delivered"/>
    <n v="5"/>
    <n v="4178"/>
    <n v="19845.5"/>
    <n v="3420.41"/>
    <n v="0.17235191857096066"/>
  </r>
  <r>
    <s v="ORD0811"/>
    <d v="2024-09-24T00:00:00"/>
    <s v="CUST0811"/>
    <s v="Amit"/>
    <s v="Male"/>
    <n v="52"/>
    <s v="Pune"/>
    <x v="0"/>
    <s v="Consumer"/>
    <x v="0"/>
    <s v="UPI"/>
    <s v="Pending"/>
    <n v="3"/>
    <n v="29806"/>
    <n v="71534.399999999994"/>
    <n v="17469.330000000002"/>
    <n v="0.24420880024156214"/>
  </r>
  <r>
    <s v="ORD0812"/>
    <d v="2024-01-21T00:00:00"/>
    <s v="CUST0812"/>
    <s v="Sneha"/>
    <s v="Male"/>
    <n v="38"/>
    <s v="Bangalore"/>
    <x v="0"/>
    <s v="Consumer"/>
    <x v="3"/>
    <s v="UPI"/>
    <s v="Pending"/>
    <n v="5"/>
    <n v="31096"/>
    <n v="155480"/>
    <n v="60570.31"/>
    <n v="0.38956978389503472"/>
  </r>
  <r>
    <s v="ORD0813"/>
    <d v="2024-06-19T00:00:00"/>
    <s v="CUST0813"/>
    <s v="Pooja"/>
    <s v="Female"/>
    <n v="47"/>
    <s v="Chennai"/>
    <x v="1"/>
    <s v="Consumer"/>
    <x v="2"/>
    <s v="UPI"/>
    <s v="Returned"/>
    <n v="4"/>
    <n v="4509"/>
    <n v="15330.6"/>
    <n v="4689.84"/>
    <n v="0.30591366287033778"/>
  </r>
  <r>
    <s v="ORD0814"/>
    <d v="2024-04-02T00:00:00"/>
    <s v="CUST0814"/>
    <s v="Sneha"/>
    <s v="Male"/>
    <n v="47"/>
    <s v="Mumbai"/>
    <x v="1"/>
    <s v="Corporate"/>
    <x v="2"/>
    <s v="Debit Card"/>
    <s v="Returned"/>
    <n v="3"/>
    <n v="45168"/>
    <n v="115178.4"/>
    <n v="18496.97"/>
    <n v="0.16059408708577305"/>
  </r>
  <r>
    <s v="ORD0815"/>
    <d v="2024-02-05T00:00:00"/>
    <s v="CUST0815"/>
    <s v="Priya"/>
    <s v="Female"/>
    <n v="21"/>
    <s v="Pune"/>
    <x v="0"/>
    <s v="Consumer"/>
    <x v="0"/>
    <s v="Credit Card"/>
    <s v="Returned"/>
    <n v="5"/>
    <n v="48720"/>
    <n v="219240"/>
    <n v="70101.570000000007"/>
    <n v="0.31974808429118778"/>
  </r>
  <r>
    <s v="ORD0816"/>
    <d v="2024-10-14T00:00:00"/>
    <s v="CUST0816"/>
    <s v="Vikram"/>
    <s v="Female"/>
    <n v="47"/>
    <s v="Bangalore"/>
    <x v="1"/>
    <s v="Home Office"/>
    <x v="1"/>
    <s v="UPI"/>
    <s v="Delivered"/>
    <n v="4"/>
    <n v="9585"/>
    <n v="38340"/>
    <n v="7994.29"/>
    <n v="0.20851043296817945"/>
  </r>
  <r>
    <s v="ORD0817"/>
    <d v="2024-02-15T00:00:00"/>
    <s v="CUST0817"/>
    <s v="Neha"/>
    <s v="Male"/>
    <n v="18"/>
    <s v="Pune"/>
    <x v="1"/>
    <s v="Home Office"/>
    <x v="3"/>
    <s v="Net Banking"/>
    <s v="Pending"/>
    <n v="4"/>
    <n v="31805"/>
    <n v="127220"/>
    <n v="41591.019999999997"/>
    <n v="0.32692202483886179"/>
  </r>
  <r>
    <s v="ORD0818"/>
    <d v="2024-09-03T00:00:00"/>
    <s v="CUST0818"/>
    <s v="Rahul"/>
    <s v="Male"/>
    <n v="41"/>
    <s v="Chennai"/>
    <x v="1"/>
    <s v="Home Office"/>
    <x v="4"/>
    <s v="Cash on Delivery"/>
    <s v="Pending"/>
    <n v="1"/>
    <n v="41572"/>
    <n v="41572"/>
    <n v="7433.78"/>
    <n v="0.17881699220629269"/>
  </r>
  <r>
    <s v="ORD0819"/>
    <d v="2024-06-15T00:00:00"/>
    <s v="CUST0819"/>
    <s v="Ananya"/>
    <s v="Female"/>
    <n v="29"/>
    <s v="Chennai"/>
    <x v="0"/>
    <s v="Corporate"/>
    <x v="4"/>
    <s v="UPI"/>
    <s v="Returned"/>
    <n v="2"/>
    <n v="25864"/>
    <n v="43968.800000000003"/>
    <n v="16742.12"/>
    <n v="0.38077272975382537"/>
  </r>
  <r>
    <s v="ORD0820"/>
    <d v="2024-07-05T00:00:00"/>
    <s v="CUST0820"/>
    <s v="Priya"/>
    <s v="Female"/>
    <n v="35"/>
    <s v="Bangalore"/>
    <x v="0"/>
    <s v="Corporate"/>
    <x v="0"/>
    <s v="Credit Card"/>
    <s v="Pending"/>
    <n v="2"/>
    <n v="39397"/>
    <n v="74854.3"/>
    <n v="13202.37"/>
    <n v="0.17637423634981558"/>
  </r>
  <r>
    <s v="ORD0821"/>
    <d v="2024-04-28T00:00:00"/>
    <s v="CUST0821"/>
    <s v="Ananya"/>
    <s v="Male"/>
    <n v="31"/>
    <s v="Hyderabad"/>
    <x v="1"/>
    <s v="Home Office"/>
    <x v="4"/>
    <s v="Net Banking"/>
    <s v="Returned"/>
    <n v="5"/>
    <n v="21500"/>
    <n v="86000"/>
    <n v="22002.76"/>
    <n v="0.2558460465116279"/>
  </r>
  <r>
    <s v="ORD0822"/>
    <d v="2024-09-24T00:00:00"/>
    <s v="CUST0822"/>
    <s v="Rahul"/>
    <s v="Female"/>
    <n v="32"/>
    <s v="Bangalore"/>
    <x v="2"/>
    <s v="Consumer"/>
    <x v="0"/>
    <s v="UPI"/>
    <s v="Pending"/>
    <n v="3"/>
    <n v="8512"/>
    <n v="22982.400000000001"/>
    <n v="8012.68"/>
    <n v="0.3486441798941799"/>
  </r>
  <r>
    <s v="ORD0823"/>
    <d v="2024-06-16T00:00:00"/>
    <s v="CUST0823"/>
    <s v="Aarav"/>
    <s v="Female"/>
    <n v="38"/>
    <s v="Bangalore"/>
    <x v="0"/>
    <s v="Home Office"/>
    <x v="4"/>
    <s v="Credit Card"/>
    <s v="Cancelled"/>
    <n v="1"/>
    <n v="36548"/>
    <n v="29238.400000000001"/>
    <n v="5850.81"/>
    <n v="0.20010705100142279"/>
  </r>
  <r>
    <s v="ORD0824"/>
    <d v="2024-01-31T00:00:00"/>
    <s v="CUST0824"/>
    <s v="Priya"/>
    <s v="Female"/>
    <n v="51"/>
    <s v="Chennai"/>
    <x v="1"/>
    <s v="Corporate"/>
    <x v="1"/>
    <s v="Credit Card"/>
    <s v="Delivered"/>
    <n v="3"/>
    <n v="31877"/>
    <n v="95631"/>
    <n v="22071.93"/>
    <n v="0.23080308686513787"/>
  </r>
  <r>
    <s v="ORD0825"/>
    <d v="2024-11-05T00:00:00"/>
    <s v="CUST0825"/>
    <s v="Vikram"/>
    <s v="Female"/>
    <n v="21"/>
    <s v="Mumbai"/>
    <x v="2"/>
    <s v="Consumer"/>
    <x v="4"/>
    <s v="Net Banking"/>
    <s v="Returned"/>
    <n v="5"/>
    <n v="10303"/>
    <n v="46363.5"/>
    <n v="14492.17"/>
    <n v="0.31257713503078932"/>
  </r>
  <r>
    <s v="ORD0826"/>
    <d v="2024-03-04T00:00:00"/>
    <s v="CUST0826"/>
    <s v="Pooja"/>
    <s v="Male"/>
    <n v="50"/>
    <s v="Hyderabad"/>
    <x v="0"/>
    <s v="Consumer"/>
    <x v="0"/>
    <s v="UPI"/>
    <s v="Returned"/>
    <n v="3"/>
    <n v="9240"/>
    <n v="24948"/>
    <n v="5095.2299999999996"/>
    <n v="0.20423400673400671"/>
  </r>
  <r>
    <s v="ORD0827"/>
    <d v="2024-05-13T00:00:00"/>
    <s v="CUST0827"/>
    <s v="Amit"/>
    <s v="Male"/>
    <n v="57"/>
    <s v="Chennai"/>
    <x v="1"/>
    <s v="Corporate"/>
    <x v="0"/>
    <s v="Cash on Delivery"/>
    <s v="Cancelled"/>
    <n v="4"/>
    <n v="14793"/>
    <n v="53254.8"/>
    <n v="13211.74"/>
    <n v="0.24808543079684833"/>
  </r>
  <r>
    <s v="ORD0828"/>
    <d v="2024-10-29T00:00:00"/>
    <s v="CUST0828"/>
    <s v="Aarav"/>
    <s v="Female"/>
    <n v="44"/>
    <s v="Hyderabad"/>
    <x v="0"/>
    <s v="Corporate"/>
    <x v="1"/>
    <s v="Net Banking"/>
    <s v="Cancelled"/>
    <n v="4"/>
    <n v="28924"/>
    <n v="104126.39999999999"/>
    <n v="15668.5"/>
    <n v="0.15047576791284439"/>
  </r>
  <r>
    <s v="ORD0829"/>
    <d v="2024-03-26T00:00:00"/>
    <s v="CUST0829"/>
    <s v="Priya"/>
    <s v="Female"/>
    <n v="20"/>
    <s v="Pune"/>
    <x v="1"/>
    <s v="Corporate"/>
    <x v="2"/>
    <s v="Credit Card"/>
    <s v="Pending"/>
    <n v="4"/>
    <n v="43811"/>
    <n v="148957.4"/>
    <n v="32745.41"/>
    <n v="0.21983070327489604"/>
  </r>
  <r>
    <s v="ORD0830"/>
    <d v="2024-09-29T00:00:00"/>
    <s v="CUST0830"/>
    <s v="Neha"/>
    <s v="Male"/>
    <n v="45"/>
    <s v="Delhi"/>
    <x v="0"/>
    <s v="Home Office"/>
    <x v="2"/>
    <s v="Cash on Delivery"/>
    <s v="Cancelled"/>
    <n v="3"/>
    <n v="27295"/>
    <n v="81885"/>
    <n v="15145.2"/>
    <n v="0.18495695182267816"/>
  </r>
  <r>
    <s v="ORD0831"/>
    <d v="2024-02-22T00:00:00"/>
    <s v="CUST0831"/>
    <s v="Aarav"/>
    <s v="Male"/>
    <n v="52"/>
    <s v="Chennai"/>
    <x v="1"/>
    <s v="Consumer"/>
    <x v="1"/>
    <s v="Credit Card"/>
    <s v="Pending"/>
    <n v="4"/>
    <n v="12124"/>
    <n v="48496"/>
    <n v="15750.39"/>
    <n v="0.32477709501814583"/>
  </r>
  <r>
    <s v="ORD0832"/>
    <d v="2024-11-13T00:00:00"/>
    <s v="CUST0832"/>
    <s v="Rohan"/>
    <s v="Female"/>
    <n v="19"/>
    <s v="Hyderabad"/>
    <x v="0"/>
    <s v="Corporate"/>
    <x v="0"/>
    <s v="Credit Card"/>
    <s v="Returned"/>
    <n v="2"/>
    <n v="28391"/>
    <n v="53942.9"/>
    <n v="14495.33"/>
    <n v="0.26871617951574722"/>
  </r>
  <r>
    <s v="ORD0833"/>
    <d v="2024-06-06T00:00:00"/>
    <s v="CUST0833"/>
    <s v="Priya"/>
    <s v="Female"/>
    <n v="30"/>
    <s v="Chennai"/>
    <x v="0"/>
    <s v="Corporate"/>
    <x v="2"/>
    <s v="UPI"/>
    <s v="Cancelled"/>
    <n v="5"/>
    <n v="6038"/>
    <n v="24152"/>
    <n v="8560.2999999999993"/>
    <n v="0.35443441536932757"/>
  </r>
  <r>
    <s v="ORD0834"/>
    <d v="2024-12-28T00:00:00"/>
    <s v="CUST0834"/>
    <s v="Amit"/>
    <s v="Female"/>
    <n v="58"/>
    <s v="Chennai"/>
    <x v="0"/>
    <s v="Consumer"/>
    <x v="0"/>
    <s v="Net Banking"/>
    <s v="Returned"/>
    <n v="2"/>
    <n v="49529"/>
    <n v="84199.3"/>
    <n v="25078.5"/>
    <n v="0.29784689421408489"/>
  </r>
  <r>
    <s v="ORD0835"/>
    <d v="2024-09-02T00:00:00"/>
    <s v="CUST0835"/>
    <s v="Pooja"/>
    <s v="Male"/>
    <n v="39"/>
    <s v="Chennai"/>
    <x v="2"/>
    <s v="Consumer"/>
    <x v="3"/>
    <s v="UPI"/>
    <s v="Returned"/>
    <n v="3"/>
    <n v="41439"/>
    <n v="99453.6"/>
    <n v="15600.42"/>
    <n v="0.15686129008904653"/>
  </r>
  <r>
    <s v="ORD0836"/>
    <d v="2024-03-17T00:00:00"/>
    <s v="CUST0836"/>
    <s v="Rohan"/>
    <s v="Female"/>
    <n v="56"/>
    <s v="Bangalore"/>
    <x v="0"/>
    <s v="Consumer"/>
    <x v="0"/>
    <s v="Debit Card"/>
    <s v="Cancelled"/>
    <n v="5"/>
    <n v="14765"/>
    <n v="66442.5"/>
    <n v="13674.56"/>
    <n v="0.20581043759641796"/>
  </r>
  <r>
    <s v="ORD0837"/>
    <d v="2024-11-06T00:00:00"/>
    <s v="CUST0837"/>
    <s v="Sneha"/>
    <s v="Male"/>
    <n v="38"/>
    <s v="Pune"/>
    <x v="0"/>
    <s v="Home Office"/>
    <x v="2"/>
    <s v="Net Banking"/>
    <s v="Returned"/>
    <n v="1"/>
    <n v="31649"/>
    <n v="26901.65"/>
    <n v="5545.43"/>
    <n v="0.20613717002488696"/>
  </r>
  <r>
    <s v="ORD0838"/>
    <d v="2024-11-29T00:00:00"/>
    <s v="CUST0838"/>
    <s v="Ananya"/>
    <s v="Female"/>
    <n v="46"/>
    <s v="Mumbai"/>
    <x v="2"/>
    <s v="Consumer"/>
    <x v="0"/>
    <s v="Credit Card"/>
    <s v="Returned"/>
    <n v="1"/>
    <n v="42974"/>
    <n v="36527.9"/>
    <n v="8519.15"/>
    <n v="0.23322309796073684"/>
  </r>
  <r>
    <s v="ORD0839"/>
    <d v="2024-09-16T00:00:00"/>
    <s v="CUST0839"/>
    <s v="Vikram"/>
    <s v="Male"/>
    <n v="18"/>
    <s v="Chennai"/>
    <x v="2"/>
    <s v="Corporate"/>
    <x v="0"/>
    <s v="UPI"/>
    <s v="Delivered"/>
    <n v="1"/>
    <n v="31166"/>
    <n v="31166"/>
    <n v="12092.77"/>
    <n v="0.38801161522171601"/>
  </r>
  <r>
    <s v="ORD0840"/>
    <d v="2024-01-30T00:00:00"/>
    <s v="CUST0840"/>
    <s v="Vikram"/>
    <s v="Male"/>
    <n v="54"/>
    <s v="Mumbai"/>
    <x v="1"/>
    <s v="Consumer"/>
    <x v="4"/>
    <s v="Net Banking"/>
    <s v="Returned"/>
    <n v="2"/>
    <n v="11822"/>
    <n v="21279.599999999999"/>
    <n v="5183.12"/>
    <n v="0.24357224759863907"/>
  </r>
  <r>
    <s v="ORD0841"/>
    <d v="2024-11-10T00:00:00"/>
    <s v="CUST0841"/>
    <s v="Aarav"/>
    <s v="Male"/>
    <n v="27"/>
    <s v="Mumbai"/>
    <x v="0"/>
    <s v="Corporate"/>
    <x v="1"/>
    <s v="Credit Card"/>
    <s v="Returned"/>
    <n v="2"/>
    <n v="24936"/>
    <n v="42391.199999999997"/>
    <n v="6517.61"/>
    <n v="0.15374912717733868"/>
  </r>
  <r>
    <s v="ORD0842"/>
    <d v="2024-12-22T00:00:00"/>
    <s v="CUST0842"/>
    <s v="Ananya"/>
    <s v="Female"/>
    <n v="26"/>
    <s v="Pune"/>
    <x v="0"/>
    <s v="Consumer"/>
    <x v="1"/>
    <s v="Net Banking"/>
    <s v="Pending"/>
    <n v="3"/>
    <n v="42824"/>
    <n v="128472"/>
    <n v="25764.07"/>
    <n v="0.20054229715424374"/>
  </r>
  <r>
    <s v="ORD0843"/>
    <d v="2024-06-09T00:00:00"/>
    <s v="CUST0843"/>
    <s v="Rohan"/>
    <s v="Female"/>
    <n v="21"/>
    <s v="Bangalore"/>
    <x v="0"/>
    <s v="Consumer"/>
    <x v="2"/>
    <s v="Net Banking"/>
    <s v="Cancelled"/>
    <n v="5"/>
    <n v="27003"/>
    <n v="108012"/>
    <n v="27629.79"/>
    <n v="0.25580296633707367"/>
  </r>
  <r>
    <s v="ORD0844"/>
    <d v="2024-06-16T00:00:00"/>
    <s v="CUST0844"/>
    <s v="Neha"/>
    <s v="Female"/>
    <n v="38"/>
    <s v="Chennai"/>
    <x v="0"/>
    <s v="Consumer"/>
    <x v="3"/>
    <s v="Cash on Delivery"/>
    <s v="Delivered"/>
    <n v="2"/>
    <n v="18043"/>
    <n v="28868.799999999999"/>
    <n v="5694.99"/>
    <n v="0.19727144876129246"/>
  </r>
  <r>
    <s v="ORD0845"/>
    <d v="2024-10-22T00:00:00"/>
    <s v="CUST0845"/>
    <s v="Neha"/>
    <s v="Male"/>
    <n v="21"/>
    <s v="Mumbai"/>
    <x v="0"/>
    <s v="Consumer"/>
    <x v="1"/>
    <s v="Net Banking"/>
    <s v="Cancelled"/>
    <n v="2"/>
    <n v="42837"/>
    <n v="68539.199999999997"/>
    <n v="17269.66"/>
    <n v="0.25196763312090015"/>
  </r>
  <r>
    <s v="ORD0846"/>
    <d v="2024-08-07T00:00:00"/>
    <s v="CUST0846"/>
    <s v="Rohan"/>
    <s v="Female"/>
    <n v="48"/>
    <s v="Hyderabad"/>
    <x v="0"/>
    <s v="Corporate"/>
    <x v="1"/>
    <s v="Net Banking"/>
    <s v="Delivered"/>
    <n v="5"/>
    <n v="1164"/>
    <n v="5820"/>
    <n v="1017.46"/>
    <n v="0.1748213058419244"/>
  </r>
  <r>
    <s v="ORD0847"/>
    <d v="2024-11-17T00:00:00"/>
    <s v="CUST0847"/>
    <s v="Sneha"/>
    <s v="Male"/>
    <n v="30"/>
    <s v="Chennai"/>
    <x v="0"/>
    <s v="Home Office"/>
    <x v="4"/>
    <s v="Debit Card"/>
    <s v="Pending"/>
    <n v="3"/>
    <n v="17572"/>
    <n v="44808.6"/>
    <n v="7334.37"/>
    <n v="0.16368219493579358"/>
  </r>
  <r>
    <s v="ORD0848"/>
    <d v="2024-03-28T00:00:00"/>
    <s v="CUST0848"/>
    <s v="Priya"/>
    <s v="Female"/>
    <n v="60"/>
    <s v="Delhi"/>
    <x v="0"/>
    <s v="Corporate"/>
    <x v="2"/>
    <s v="Net Banking"/>
    <s v="Returned"/>
    <n v="3"/>
    <n v="41222"/>
    <n v="123666"/>
    <n v="31395.03"/>
    <n v="0.25386953568482851"/>
  </r>
  <r>
    <s v="ORD0849"/>
    <d v="2024-04-12T00:00:00"/>
    <s v="CUST0849"/>
    <s v="Rahul"/>
    <s v="Female"/>
    <n v="40"/>
    <s v="Chennai"/>
    <x v="1"/>
    <s v="Home Office"/>
    <x v="0"/>
    <s v="Credit Card"/>
    <s v="Delivered"/>
    <n v="2"/>
    <n v="42495"/>
    <n v="80740.5"/>
    <n v="25603.81"/>
    <n v="0.31711235377536678"/>
  </r>
  <r>
    <s v="ORD0850"/>
    <d v="2024-08-21T00:00:00"/>
    <s v="CUST0850"/>
    <s v="Ananya"/>
    <s v="Female"/>
    <n v="44"/>
    <s v="Pune"/>
    <x v="0"/>
    <s v="Consumer"/>
    <x v="3"/>
    <s v="UPI"/>
    <s v="Pending"/>
    <n v="1"/>
    <n v="26750"/>
    <n v="22737.5"/>
    <n v="5344.94"/>
    <n v="0.23507157778999449"/>
  </r>
  <r>
    <s v="ORD0851"/>
    <d v="2024-06-26T00:00:00"/>
    <s v="CUST0851"/>
    <s v="Pooja"/>
    <s v="Male"/>
    <n v="34"/>
    <s v="Delhi"/>
    <x v="2"/>
    <s v="Home Office"/>
    <x v="3"/>
    <s v="UPI"/>
    <s v="Pending"/>
    <n v="5"/>
    <n v="3254"/>
    <n v="14643"/>
    <n v="3962.4"/>
    <n v="0.27060028682646997"/>
  </r>
  <r>
    <s v="ORD0852"/>
    <d v="2024-08-01T00:00:00"/>
    <s v="CUST0852"/>
    <s v="Neha"/>
    <s v="Male"/>
    <n v="59"/>
    <s v="Hyderabad"/>
    <x v="0"/>
    <s v="Home Office"/>
    <x v="4"/>
    <s v="UPI"/>
    <s v="Cancelled"/>
    <n v="4"/>
    <n v="18749"/>
    <n v="63746.6"/>
    <n v="21202.17"/>
    <n v="0.33260079753273114"/>
  </r>
  <r>
    <s v="ORD0853"/>
    <d v="2024-05-08T00:00:00"/>
    <s v="CUST0853"/>
    <s v="Priya"/>
    <s v="Female"/>
    <n v="42"/>
    <s v="Bangalore"/>
    <x v="2"/>
    <s v="Consumer"/>
    <x v="4"/>
    <s v="Net Banking"/>
    <s v="Returned"/>
    <n v="4"/>
    <n v="1223"/>
    <n v="4402.8"/>
    <n v="730.83"/>
    <n v="0.16599209593894795"/>
  </r>
  <r>
    <s v="ORD0854"/>
    <d v="2024-02-29T00:00:00"/>
    <s v="CUST0854"/>
    <s v="Sneha"/>
    <s v="Female"/>
    <n v="30"/>
    <s v="Bangalore"/>
    <x v="0"/>
    <s v="Consumer"/>
    <x v="1"/>
    <s v="Debit Card"/>
    <s v="Returned"/>
    <n v="5"/>
    <n v="11822"/>
    <n v="59110"/>
    <n v="17828.97"/>
    <n v="0.30162358315005922"/>
  </r>
  <r>
    <s v="ORD0855"/>
    <d v="2024-03-18T00:00:00"/>
    <s v="CUST0855"/>
    <s v="Rohan"/>
    <s v="Male"/>
    <n v="20"/>
    <s v="Mumbai"/>
    <x v="2"/>
    <s v="Corporate"/>
    <x v="4"/>
    <s v="UPI"/>
    <s v="Returned"/>
    <n v="1"/>
    <n v="25383"/>
    <n v="22844.7"/>
    <n v="5957.47"/>
    <n v="0.26078127530674511"/>
  </r>
  <r>
    <s v="ORD0856"/>
    <d v="2024-08-04T00:00:00"/>
    <s v="CUST0856"/>
    <s v="Sneha"/>
    <s v="Male"/>
    <n v="52"/>
    <s v="Mumbai"/>
    <x v="1"/>
    <s v="Corporate"/>
    <x v="2"/>
    <s v="Net Banking"/>
    <s v="Cancelled"/>
    <n v="4"/>
    <n v="11215"/>
    <n v="38131"/>
    <n v="9230.4599999999991"/>
    <n v="0.24207232960058742"/>
  </r>
  <r>
    <s v="ORD0857"/>
    <d v="2024-04-23T00:00:00"/>
    <s v="CUST0857"/>
    <s v="Amit"/>
    <s v="Male"/>
    <n v="39"/>
    <s v="Pune"/>
    <x v="1"/>
    <s v="Consumer"/>
    <x v="3"/>
    <s v="Net Banking"/>
    <s v="Returned"/>
    <n v="5"/>
    <n v="11436"/>
    <n v="54321"/>
    <n v="15471.4"/>
    <n v="0.28481434436037628"/>
  </r>
  <r>
    <s v="ORD0858"/>
    <d v="2024-05-07T00:00:00"/>
    <s v="CUST0858"/>
    <s v="Aarav"/>
    <s v="Female"/>
    <n v="44"/>
    <s v="Pune"/>
    <x v="0"/>
    <s v="Home Office"/>
    <x v="3"/>
    <s v="Credit Card"/>
    <s v="Cancelled"/>
    <n v="3"/>
    <n v="47935"/>
    <n v="122234.25"/>
    <n v="45895.91"/>
    <n v="0.37547504075167148"/>
  </r>
  <r>
    <s v="ORD0859"/>
    <d v="2024-11-07T00:00:00"/>
    <s v="CUST0859"/>
    <s v="Rahul"/>
    <s v="Male"/>
    <n v="22"/>
    <s v="Mumbai"/>
    <x v="1"/>
    <s v="Corporate"/>
    <x v="4"/>
    <s v="Credit Card"/>
    <s v="Returned"/>
    <n v="2"/>
    <n v="17770"/>
    <n v="30209"/>
    <n v="6090.72"/>
    <n v="0.20161938495150453"/>
  </r>
  <r>
    <s v="ORD0860"/>
    <d v="2024-08-05T00:00:00"/>
    <s v="CUST0860"/>
    <s v="Amit"/>
    <s v="Male"/>
    <n v="43"/>
    <s v="Delhi"/>
    <x v="0"/>
    <s v="Consumer"/>
    <x v="0"/>
    <s v="Cash on Delivery"/>
    <s v="Returned"/>
    <n v="4"/>
    <n v="40698"/>
    <n v="138373.20000000001"/>
    <n v="34125.089999999997"/>
    <n v="0.24661632454839516"/>
  </r>
  <r>
    <s v="ORD0861"/>
    <d v="2024-08-08T00:00:00"/>
    <s v="CUST0861"/>
    <s v="Ananya"/>
    <s v="Female"/>
    <n v="22"/>
    <s v="Hyderabad"/>
    <x v="0"/>
    <s v="Consumer"/>
    <x v="2"/>
    <s v="UPI"/>
    <s v="Returned"/>
    <n v="3"/>
    <n v="23670"/>
    <n v="63909"/>
    <n v="11201.33"/>
    <n v="0.17526999327168316"/>
  </r>
  <r>
    <s v="ORD0862"/>
    <d v="2024-06-28T00:00:00"/>
    <s v="CUST0862"/>
    <s v="Vikram"/>
    <s v="Female"/>
    <n v="43"/>
    <s v="Chennai"/>
    <x v="1"/>
    <s v="Home Office"/>
    <x v="1"/>
    <s v="Debit Card"/>
    <s v="Returned"/>
    <n v="2"/>
    <n v="29362"/>
    <n v="52851.6"/>
    <n v="20619.21"/>
    <n v="0.39013407351906093"/>
  </r>
  <r>
    <s v="ORD0863"/>
    <d v="2024-02-24T00:00:00"/>
    <s v="CUST0863"/>
    <s v="Ananya"/>
    <s v="Male"/>
    <n v="56"/>
    <s v="Mumbai"/>
    <x v="0"/>
    <s v="Consumer"/>
    <x v="2"/>
    <s v="UPI"/>
    <s v="Delivered"/>
    <n v="5"/>
    <n v="11227"/>
    <n v="53328.25"/>
    <n v="15688.73"/>
    <n v="0.29419172764904156"/>
  </r>
  <r>
    <s v="ORD0864"/>
    <d v="2024-01-17T00:00:00"/>
    <s v="CUST0864"/>
    <s v="Aarav"/>
    <s v="Female"/>
    <n v="44"/>
    <s v="Mumbai"/>
    <x v="0"/>
    <s v="Corporate"/>
    <x v="3"/>
    <s v="UPI"/>
    <s v="Delivered"/>
    <n v="3"/>
    <n v="5316"/>
    <n v="13555.8"/>
    <n v="3170.72"/>
    <n v="0.2339013558771891"/>
  </r>
  <r>
    <s v="ORD0865"/>
    <d v="2024-10-16T00:00:00"/>
    <s v="CUST0865"/>
    <s v="Vikram"/>
    <s v="Female"/>
    <n v="18"/>
    <s v="Delhi"/>
    <x v="1"/>
    <s v="Corporate"/>
    <x v="2"/>
    <s v="Credit Card"/>
    <s v="Delivered"/>
    <n v="4"/>
    <n v="32287"/>
    <n v="116233.2"/>
    <n v="29009.62"/>
    <n v="0.24958118678656357"/>
  </r>
  <r>
    <s v="ORD0866"/>
    <d v="2024-04-20T00:00:00"/>
    <s v="CUST0866"/>
    <s v="Rohan"/>
    <s v="Female"/>
    <n v="21"/>
    <s v="Delhi"/>
    <x v="2"/>
    <s v="Home Office"/>
    <x v="1"/>
    <s v="UPI"/>
    <s v="Returned"/>
    <n v="4"/>
    <n v="26175"/>
    <n v="94230"/>
    <n v="24218.26"/>
    <n v="0.25701220418125859"/>
  </r>
  <r>
    <s v="ORD0867"/>
    <d v="2024-02-01T00:00:00"/>
    <s v="CUST0867"/>
    <s v="Ananya"/>
    <s v="Male"/>
    <n v="33"/>
    <s v="Hyderabad"/>
    <x v="0"/>
    <s v="Home Office"/>
    <x v="0"/>
    <s v="Net Banking"/>
    <s v="Pending"/>
    <n v="4"/>
    <n v="35517"/>
    <n v="113654.39999999999"/>
    <n v="21444.17"/>
    <n v="0.18867874890897315"/>
  </r>
  <r>
    <s v="ORD0868"/>
    <d v="2024-07-07T00:00:00"/>
    <s v="CUST0868"/>
    <s v="Rohan"/>
    <s v="Female"/>
    <n v="57"/>
    <s v="Hyderabad"/>
    <x v="1"/>
    <s v="Consumer"/>
    <x v="3"/>
    <s v="Debit Card"/>
    <s v="Pending"/>
    <n v="4"/>
    <n v="39189"/>
    <n v="141080.4"/>
    <n v="44833.87"/>
    <n v="0.3177895015891648"/>
  </r>
  <r>
    <s v="ORD0869"/>
    <d v="2024-08-11T00:00:00"/>
    <s v="CUST0869"/>
    <s v="Pooja"/>
    <s v="Male"/>
    <n v="34"/>
    <s v="Chennai"/>
    <x v="0"/>
    <s v="Home Office"/>
    <x v="1"/>
    <s v="UPI"/>
    <s v="Returned"/>
    <n v="1"/>
    <n v="6339"/>
    <n v="5705.1"/>
    <n v="1124.1099999999999"/>
    <n v="0.19703598534644437"/>
  </r>
  <r>
    <s v="ORD0870"/>
    <d v="2024-10-27T00:00:00"/>
    <s v="CUST0870"/>
    <s v="Aarav"/>
    <s v="Female"/>
    <n v="23"/>
    <s v="Mumbai"/>
    <x v="0"/>
    <s v="Corporate"/>
    <x v="1"/>
    <s v="Debit Card"/>
    <s v="Pending"/>
    <n v="3"/>
    <n v="22601"/>
    <n v="57632.55"/>
    <n v="14567.24"/>
    <n v="0.2527606361335738"/>
  </r>
  <r>
    <s v="ORD0871"/>
    <d v="2024-12-18T00:00:00"/>
    <s v="CUST0871"/>
    <s v="Rohan"/>
    <s v="Male"/>
    <n v="42"/>
    <s v="Hyderabad"/>
    <x v="1"/>
    <s v="Corporate"/>
    <x v="3"/>
    <s v="Credit Card"/>
    <s v="Returned"/>
    <n v="5"/>
    <n v="24531"/>
    <n v="98124"/>
    <n v="17287.310000000001"/>
    <n v="0.17617820308996782"/>
  </r>
  <r>
    <s v="ORD0872"/>
    <d v="2024-09-16T00:00:00"/>
    <s v="CUST0872"/>
    <s v="Rohan"/>
    <s v="Female"/>
    <n v="54"/>
    <s v="Chennai"/>
    <x v="1"/>
    <s v="Corporate"/>
    <x v="2"/>
    <s v="Net Banking"/>
    <s v="Pending"/>
    <n v="3"/>
    <n v="34651"/>
    <n v="83162.399999999994"/>
    <n v="16086.53"/>
    <n v="0.19343513414716268"/>
  </r>
  <r>
    <s v="ORD0873"/>
    <d v="2024-04-09T00:00:00"/>
    <s v="CUST0873"/>
    <s v="Ananya"/>
    <s v="Female"/>
    <n v="30"/>
    <s v="Pune"/>
    <x v="1"/>
    <s v="Consumer"/>
    <x v="1"/>
    <s v="Debit Card"/>
    <s v="Returned"/>
    <n v="3"/>
    <n v="49398"/>
    <n v="133374.6"/>
    <n v="39869.19"/>
    <n v="0.2989264072769478"/>
  </r>
  <r>
    <s v="ORD0874"/>
    <d v="2024-07-14T00:00:00"/>
    <s v="CUST0874"/>
    <s v="Aarav"/>
    <s v="Male"/>
    <n v="27"/>
    <s v="Delhi"/>
    <x v="0"/>
    <s v="Consumer"/>
    <x v="4"/>
    <s v="Cash on Delivery"/>
    <s v="Cancelled"/>
    <n v="5"/>
    <n v="47749"/>
    <n v="190996"/>
    <n v="69196.820000000007"/>
    <n v="0.36229460302833572"/>
  </r>
  <r>
    <s v="ORD0875"/>
    <d v="2024-11-04T00:00:00"/>
    <s v="CUST0875"/>
    <s v="Vikram"/>
    <s v="Male"/>
    <n v="29"/>
    <s v="Hyderabad"/>
    <x v="1"/>
    <s v="Home Office"/>
    <x v="4"/>
    <s v="UPI"/>
    <s v="Pending"/>
    <n v="5"/>
    <n v="39012"/>
    <n v="165801"/>
    <n v="64789.4"/>
    <n v="0.39076603880555605"/>
  </r>
  <r>
    <s v="ORD0876"/>
    <d v="2024-06-04T00:00:00"/>
    <s v="CUST0876"/>
    <s v="Pooja"/>
    <s v="Male"/>
    <n v="22"/>
    <s v="Mumbai"/>
    <x v="1"/>
    <s v="Home Office"/>
    <x v="2"/>
    <s v="Cash on Delivery"/>
    <s v="Pending"/>
    <n v="1"/>
    <n v="15230"/>
    <n v="12184"/>
    <n v="3598.74"/>
    <n v="0.29536605384110309"/>
  </r>
  <r>
    <s v="ORD0877"/>
    <d v="2024-01-06T00:00:00"/>
    <s v="CUST0877"/>
    <s v="Rohan"/>
    <s v="Male"/>
    <n v="44"/>
    <s v="Hyderabad"/>
    <x v="2"/>
    <s v="Corporate"/>
    <x v="4"/>
    <s v="Cash on Delivery"/>
    <s v="Delivered"/>
    <n v="4"/>
    <n v="35773"/>
    <n v="121628.2"/>
    <n v="39832.33"/>
    <n v="0.32749255518045983"/>
  </r>
  <r>
    <s v="ORD0878"/>
    <d v="2024-11-01T00:00:00"/>
    <s v="CUST0878"/>
    <s v="Vikram"/>
    <s v="Female"/>
    <n v="54"/>
    <s v="Mumbai"/>
    <x v="2"/>
    <s v="Corporate"/>
    <x v="4"/>
    <s v="Cash on Delivery"/>
    <s v="Pending"/>
    <n v="4"/>
    <n v="32021"/>
    <n v="128084"/>
    <n v="50562.67"/>
    <n v="0.39476179694575436"/>
  </r>
  <r>
    <s v="ORD0879"/>
    <d v="2024-03-27T00:00:00"/>
    <s v="CUST0879"/>
    <s v="Rahul"/>
    <s v="Female"/>
    <n v="57"/>
    <s v="Chennai"/>
    <x v="0"/>
    <s v="Corporate"/>
    <x v="0"/>
    <s v="Cash on Delivery"/>
    <s v="Returned"/>
    <n v="1"/>
    <n v="7446"/>
    <n v="5956.8"/>
    <n v="1903.17"/>
    <n v="0.3194953666398066"/>
  </r>
  <r>
    <s v="ORD0880"/>
    <d v="2024-01-05T00:00:00"/>
    <s v="CUST0880"/>
    <s v="Rahul"/>
    <s v="Female"/>
    <n v="26"/>
    <s v="Hyderabad"/>
    <x v="0"/>
    <s v="Consumer"/>
    <x v="4"/>
    <s v="Credit Card"/>
    <s v="Returned"/>
    <n v="1"/>
    <n v="38815"/>
    <n v="38815"/>
    <n v="12125.09"/>
    <n v="0.31238155352312252"/>
  </r>
  <r>
    <s v="ORD0881"/>
    <d v="2024-12-13T00:00:00"/>
    <s v="CUST0881"/>
    <s v="Rohan"/>
    <s v="Female"/>
    <n v="47"/>
    <s v="Chennai"/>
    <x v="1"/>
    <s v="Consumer"/>
    <x v="1"/>
    <s v="Net Banking"/>
    <s v="Pending"/>
    <n v="5"/>
    <n v="48169"/>
    <n v="228802.75"/>
    <n v="36892.04"/>
    <n v="0.16123949559172693"/>
  </r>
  <r>
    <s v="ORD0882"/>
    <d v="2024-11-17T00:00:00"/>
    <s v="CUST0882"/>
    <s v="Sneha"/>
    <s v="Female"/>
    <n v="59"/>
    <s v="Bangalore"/>
    <x v="0"/>
    <s v="Corporate"/>
    <x v="4"/>
    <s v="Net Banking"/>
    <s v="Cancelled"/>
    <n v="2"/>
    <n v="23713"/>
    <n v="40312.1"/>
    <n v="9615.3700000000008"/>
    <n v="0.2385231729431114"/>
  </r>
  <r>
    <s v="ORD0883"/>
    <d v="2024-09-20T00:00:00"/>
    <s v="CUST0883"/>
    <s v="Pooja"/>
    <s v="Female"/>
    <n v="24"/>
    <s v="Bangalore"/>
    <x v="2"/>
    <s v="Consumer"/>
    <x v="0"/>
    <s v="Debit Card"/>
    <s v="Cancelled"/>
    <n v="3"/>
    <n v="44627"/>
    <n v="113798.85"/>
    <n v="19016.04"/>
    <n v="0.16710221588355242"/>
  </r>
  <r>
    <s v="ORD0884"/>
    <d v="2024-06-25T00:00:00"/>
    <s v="CUST0884"/>
    <s v="Priya"/>
    <s v="Male"/>
    <n v="34"/>
    <s v="Mumbai"/>
    <x v="0"/>
    <s v="Consumer"/>
    <x v="1"/>
    <s v="Net Banking"/>
    <s v="Pending"/>
    <n v="4"/>
    <n v="19249"/>
    <n v="61596.800000000003"/>
    <n v="18945.71"/>
    <n v="0.30757620525741591"/>
  </r>
  <r>
    <s v="ORD0885"/>
    <d v="2024-10-19T00:00:00"/>
    <s v="CUST0885"/>
    <s v="Amit"/>
    <s v="Female"/>
    <n v="22"/>
    <s v="Pune"/>
    <x v="0"/>
    <s v="Corporate"/>
    <x v="0"/>
    <s v="Credit Card"/>
    <s v="Delivered"/>
    <n v="3"/>
    <n v="17513"/>
    <n v="49912.05"/>
    <n v="8730.31"/>
    <n v="0.17491387350349263"/>
  </r>
  <r>
    <s v="ORD0886"/>
    <d v="2024-05-01T00:00:00"/>
    <s v="CUST0886"/>
    <s v="Aarav"/>
    <s v="Male"/>
    <n v="51"/>
    <s v="Mumbai"/>
    <x v="1"/>
    <s v="Corporate"/>
    <x v="0"/>
    <s v="Debit Card"/>
    <s v="Delivered"/>
    <n v="2"/>
    <n v="38473"/>
    <n v="73098.7"/>
    <n v="14130.77"/>
    <n v="0.19331082495311136"/>
  </r>
  <r>
    <s v="ORD0887"/>
    <d v="2024-12-11T00:00:00"/>
    <s v="CUST0887"/>
    <s v="Amit"/>
    <s v="Female"/>
    <n v="51"/>
    <s v="Chennai"/>
    <x v="1"/>
    <s v="Corporate"/>
    <x v="0"/>
    <s v="UPI"/>
    <s v="Returned"/>
    <n v="4"/>
    <n v="4363"/>
    <n v="13961.6"/>
    <n v="2669.58"/>
    <n v="0.19120874398349758"/>
  </r>
  <r>
    <s v="ORD0888"/>
    <d v="2024-04-06T00:00:00"/>
    <s v="CUST0888"/>
    <s v="Rahul"/>
    <s v="Male"/>
    <n v="59"/>
    <s v="Pune"/>
    <x v="2"/>
    <s v="Corporate"/>
    <x v="2"/>
    <s v="UPI"/>
    <s v="Pending"/>
    <n v="5"/>
    <n v="31683"/>
    <n v="126732"/>
    <n v="46708.28"/>
    <n v="0.36855947984723669"/>
  </r>
  <r>
    <s v="ORD0889"/>
    <d v="2024-01-12T00:00:00"/>
    <s v="CUST0889"/>
    <s v="Aarav"/>
    <s v="Female"/>
    <n v="60"/>
    <s v="Pune"/>
    <x v="0"/>
    <s v="Home Office"/>
    <x v="3"/>
    <s v="Credit Card"/>
    <s v="Delivered"/>
    <n v="2"/>
    <n v="25304"/>
    <n v="45547.199999999997"/>
    <n v="7165.42"/>
    <n v="0.15731856184353815"/>
  </r>
  <r>
    <s v="ORD0890"/>
    <d v="2024-04-30T00:00:00"/>
    <s v="CUST0890"/>
    <s v="Aarav"/>
    <s v="Female"/>
    <n v="22"/>
    <s v="Pune"/>
    <x v="0"/>
    <s v="Home Office"/>
    <x v="3"/>
    <s v="Net Banking"/>
    <s v="Returned"/>
    <n v="1"/>
    <n v="15412"/>
    <n v="14641.4"/>
    <n v="5415.5"/>
    <n v="0.3698758315461636"/>
  </r>
  <r>
    <s v="ORD0891"/>
    <d v="2024-01-10T00:00:00"/>
    <s v="CUST0891"/>
    <s v="Rahul"/>
    <s v="Male"/>
    <n v="31"/>
    <s v="Bangalore"/>
    <x v="0"/>
    <s v="Corporate"/>
    <x v="3"/>
    <s v="Debit Card"/>
    <s v="Pending"/>
    <n v="2"/>
    <n v="19903"/>
    <n v="35825.4"/>
    <n v="5487.77"/>
    <n v="0.15318098332468025"/>
  </r>
  <r>
    <s v="ORD0892"/>
    <d v="2024-12-17T00:00:00"/>
    <s v="CUST0892"/>
    <s v="Amit"/>
    <s v="Female"/>
    <n v="19"/>
    <s v="Delhi"/>
    <x v="0"/>
    <s v="Home Office"/>
    <x v="2"/>
    <s v="UPI"/>
    <s v="Pending"/>
    <n v="5"/>
    <n v="27908"/>
    <n v="132563"/>
    <n v="21272.68"/>
    <n v="0.16047222829899746"/>
  </r>
  <r>
    <s v="ORD0893"/>
    <d v="2024-12-16T00:00:00"/>
    <s v="CUST0893"/>
    <s v="Sneha"/>
    <s v="Female"/>
    <n v="58"/>
    <s v="Hyderabad"/>
    <x v="0"/>
    <s v="Consumer"/>
    <x v="0"/>
    <s v="Cash on Delivery"/>
    <s v="Cancelled"/>
    <n v="5"/>
    <n v="35327"/>
    <n v="167803.25"/>
    <n v="32048.21"/>
    <n v="0.19098682534456274"/>
  </r>
  <r>
    <s v="ORD0894"/>
    <d v="2024-11-24T00:00:00"/>
    <s v="CUST0894"/>
    <s v="Amit"/>
    <s v="Female"/>
    <n v="45"/>
    <s v="Bangalore"/>
    <x v="1"/>
    <s v="Corporate"/>
    <x v="3"/>
    <s v="Cash on Delivery"/>
    <s v="Delivered"/>
    <n v="4"/>
    <n v="26187"/>
    <n v="104748"/>
    <n v="29370.76"/>
    <n v="0.28039447053881694"/>
  </r>
  <r>
    <s v="ORD0895"/>
    <d v="2024-07-03T00:00:00"/>
    <s v="CUST0895"/>
    <s v="Aarav"/>
    <s v="Male"/>
    <n v="60"/>
    <s v="Hyderabad"/>
    <x v="0"/>
    <s v="Corporate"/>
    <x v="0"/>
    <s v="UPI"/>
    <s v="Returned"/>
    <n v="1"/>
    <n v="4392"/>
    <n v="3952.8"/>
    <n v="1077.4000000000001"/>
    <n v="0.27256628212912365"/>
  </r>
  <r>
    <s v="ORD0896"/>
    <d v="2024-09-19T00:00:00"/>
    <s v="CUST0896"/>
    <s v="Rahul"/>
    <s v="Male"/>
    <n v="23"/>
    <s v="Hyderabad"/>
    <x v="0"/>
    <s v="Corporate"/>
    <x v="2"/>
    <s v="Net Banking"/>
    <s v="Delivered"/>
    <n v="5"/>
    <n v="44079"/>
    <n v="187335.75"/>
    <n v="30029.57"/>
    <n v="0.16029812782664279"/>
  </r>
  <r>
    <s v="ORD0897"/>
    <d v="2024-12-09T00:00:00"/>
    <s v="CUST0897"/>
    <s v="Rahul"/>
    <s v="Female"/>
    <n v="31"/>
    <s v="Bangalore"/>
    <x v="0"/>
    <s v="Home Office"/>
    <x v="1"/>
    <s v="Credit Card"/>
    <s v="Returned"/>
    <n v="4"/>
    <n v="40630"/>
    <n v="162520"/>
    <n v="25258.75"/>
    <n v="0.15541933300516861"/>
  </r>
  <r>
    <s v="ORD0898"/>
    <d v="2024-09-11T00:00:00"/>
    <s v="CUST0898"/>
    <s v="Ananya"/>
    <s v="Male"/>
    <n v="26"/>
    <s v="Delhi"/>
    <x v="0"/>
    <s v="Home Office"/>
    <x v="1"/>
    <s v="Debit Card"/>
    <s v="Delivered"/>
    <n v="4"/>
    <n v="42932"/>
    <n v="171728"/>
    <n v="26215.89"/>
    <n v="0.15265937994968787"/>
  </r>
  <r>
    <s v="ORD0899"/>
    <d v="2024-12-15T00:00:00"/>
    <s v="CUST0899"/>
    <s v="Ananya"/>
    <s v="Male"/>
    <n v="47"/>
    <s v="Bangalore"/>
    <x v="0"/>
    <s v="Home Office"/>
    <x v="0"/>
    <s v="Net Banking"/>
    <s v="Cancelled"/>
    <n v="4"/>
    <n v="44375"/>
    <n v="150875"/>
    <n v="33166.03"/>
    <n v="0.21982455675227836"/>
  </r>
  <r>
    <s v="ORD0900"/>
    <d v="2024-07-22T00:00:00"/>
    <s v="CUST0900"/>
    <s v="Neha"/>
    <s v="Male"/>
    <n v="33"/>
    <s v="Chennai"/>
    <x v="0"/>
    <s v="Consumer"/>
    <x v="3"/>
    <s v="Net Banking"/>
    <s v="Cancelled"/>
    <n v="3"/>
    <n v="11974"/>
    <n v="35922"/>
    <n v="11849.63"/>
    <n v="0.32987110962641275"/>
  </r>
  <r>
    <s v="ORD0901"/>
    <d v="2024-02-21T00:00:00"/>
    <s v="CUST0901"/>
    <s v="Rahul"/>
    <s v="Female"/>
    <n v="36"/>
    <s v="Pune"/>
    <x v="0"/>
    <s v="Corporate"/>
    <x v="4"/>
    <s v="Net Banking"/>
    <s v="Pending"/>
    <n v="1"/>
    <n v="1110"/>
    <n v="888"/>
    <n v="334.77"/>
    <n v="0.37699324324324324"/>
  </r>
  <r>
    <s v="ORD0902"/>
    <d v="2024-11-02T00:00:00"/>
    <s v="CUST0902"/>
    <s v="Pooja"/>
    <s v="Male"/>
    <n v="18"/>
    <s v="Mumbai"/>
    <x v="0"/>
    <s v="Consumer"/>
    <x v="2"/>
    <s v="Net Banking"/>
    <s v="Delivered"/>
    <n v="3"/>
    <n v="41654"/>
    <n v="106217.7"/>
    <n v="37263.07"/>
    <n v="0.35081789569911609"/>
  </r>
  <r>
    <s v="ORD0903"/>
    <d v="2024-07-31T00:00:00"/>
    <s v="CUST0903"/>
    <s v="Vikram"/>
    <s v="Female"/>
    <n v="30"/>
    <s v="Mumbai"/>
    <x v="2"/>
    <s v="Consumer"/>
    <x v="2"/>
    <s v="UPI"/>
    <s v="Cancelled"/>
    <n v="1"/>
    <n v="43440"/>
    <n v="36924"/>
    <n v="12244.01"/>
    <n v="0.33160031415881269"/>
  </r>
  <r>
    <s v="ORD0904"/>
    <d v="2024-06-03T00:00:00"/>
    <s v="CUST0904"/>
    <s v="Neha"/>
    <s v="Female"/>
    <n v="29"/>
    <s v="Bangalore"/>
    <x v="0"/>
    <s v="Home Office"/>
    <x v="2"/>
    <s v="Cash on Delivery"/>
    <s v="Delivered"/>
    <n v="2"/>
    <n v="39720"/>
    <n v="75468"/>
    <n v="25862.959999999999"/>
    <n v="0.34270101234960509"/>
  </r>
  <r>
    <s v="ORD0905"/>
    <d v="2024-05-16T00:00:00"/>
    <s v="CUST0905"/>
    <s v="Sneha"/>
    <s v="Male"/>
    <n v="33"/>
    <s v="Pune"/>
    <x v="1"/>
    <s v="Corporate"/>
    <x v="1"/>
    <s v="Cash on Delivery"/>
    <s v="Delivered"/>
    <n v="3"/>
    <n v="33656"/>
    <n v="80774.399999999994"/>
    <n v="17058.89"/>
    <n v="0.21119178848744158"/>
  </r>
  <r>
    <s v="ORD0906"/>
    <d v="2024-07-04T00:00:00"/>
    <s v="CUST0906"/>
    <s v="Priya"/>
    <s v="Female"/>
    <n v="58"/>
    <s v="Pune"/>
    <x v="2"/>
    <s v="Consumer"/>
    <x v="4"/>
    <s v="Cash on Delivery"/>
    <s v="Returned"/>
    <n v="5"/>
    <n v="36481"/>
    <n v="145924"/>
    <n v="49335.26"/>
    <n v="0.33808873112030924"/>
  </r>
  <r>
    <s v="ORD0907"/>
    <d v="2024-04-23T00:00:00"/>
    <s v="CUST0907"/>
    <s v="Amit"/>
    <s v="Male"/>
    <n v="31"/>
    <s v="Pune"/>
    <x v="2"/>
    <s v="Corporate"/>
    <x v="2"/>
    <s v="Debit Card"/>
    <s v="Cancelled"/>
    <n v="1"/>
    <n v="34486"/>
    <n v="34486"/>
    <n v="9200.35"/>
    <n v="0.2667850722032129"/>
  </r>
  <r>
    <s v="ORD0908"/>
    <d v="2024-07-05T00:00:00"/>
    <s v="CUST0908"/>
    <s v="Rohan"/>
    <s v="Male"/>
    <n v="51"/>
    <s v="Chennai"/>
    <x v="0"/>
    <s v="Home Office"/>
    <x v="2"/>
    <s v="UPI"/>
    <s v="Delivered"/>
    <n v="5"/>
    <n v="657"/>
    <n v="2956.5"/>
    <n v="550.26"/>
    <n v="0.18611872146118721"/>
  </r>
  <r>
    <s v="ORD0909"/>
    <d v="2024-05-09T00:00:00"/>
    <s v="CUST0909"/>
    <s v="Priya"/>
    <s v="Female"/>
    <n v="33"/>
    <s v="Bangalore"/>
    <x v="0"/>
    <s v="Consumer"/>
    <x v="1"/>
    <s v="UPI"/>
    <s v="Cancelled"/>
    <n v="3"/>
    <n v="35959"/>
    <n v="97089.3"/>
    <n v="37707.040000000001"/>
    <n v="0.3883748260621922"/>
  </r>
  <r>
    <s v="ORD0910"/>
    <d v="2024-01-27T00:00:00"/>
    <s v="CUST0910"/>
    <s v="Ananya"/>
    <s v="Male"/>
    <n v="58"/>
    <s v="Hyderabad"/>
    <x v="0"/>
    <s v="Corporate"/>
    <x v="2"/>
    <s v="UPI"/>
    <s v="Cancelled"/>
    <n v="1"/>
    <n v="40598"/>
    <n v="36538.199999999997"/>
    <n v="14023.08"/>
    <n v="0.38379230503965717"/>
  </r>
  <r>
    <s v="ORD0911"/>
    <d v="2024-03-07T00:00:00"/>
    <s v="CUST0911"/>
    <s v="Pooja"/>
    <s v="Male"/>
    <n v="40"/>
    <s v="Delhi"/>
    <x v="1"/>
    <s v="Consumer"/>
    <x v="4"/>
    <s v="UPI"/>
    <s v="Pending"/>
    <n v="4"/>
    <n v="26980"/>
    <n v="107920"/>
    <n v="23058.49"/>
    <n v="0.21366280578206079"/>
  </r>
  <r>
    <s v="ORD0912"/>
    <d v="2024-12-30T00:00:00"/>
    <s v="CUST0912"/>
    <s v="Amit"/>
    <s v="Male"/>
    <n v="18"/>
    <s v="Pune"/>
    <x v="2"/>
    <s v="Consumer"/>
    <x v="2"/>
    <s v="Net Banking"/>
    <s v="Cancelled"/>
    <n v="3"/>
    <n v="33052"/>
    <n v="89240.4"/>
    <n v="30708.18"/>
    <n v="0.34410625680745494"/>
  </r>
  <r>
    <s v="ORD0913"/>
    <d v="2024-11-10T00:00:00"/>
    <s v="CUST0913"/>
    <s v="Sneha"/>
    <s v="Male"/>
    <n v="25"/>
    <s v="Pune"/>
    <x v="2"/>
    <s v="Home Office"/>
    <x v="0"/>
    <s v="Credit Card"/>
    <s v="Delivered"/>
    <n v="1"/>
    <n v="20449"/>
    <n v="16359.2"/>
    <n v="3963.89"/>
    <n v="0.24230341336984693"/>
  </r>
  <r>
    <s v="ORD0914"/>
    <d v="2024-03-08T00:00:00"/>
    <s v="CUST0914"/>
    <s v="Ananya"/>
    <s v="Female"/>
    <n v="58"/>
    <s v="Hyderabad"/>
    <x v="1"/>
    <s v="Corporate"/>
    <x v="1"/>
    <s v="Net Banking"/>
    <s v="Delivered"/>
    <n v="2"/>
    <n v="22031"/>
    <n v="37452.699999999997"/>
    <n v="7293.53"/>
    <n v="0.19473976509036733"/>
  </r>
  <r>
    <s v="ORD0915"/>
    <d v="2024-02-27T00:00:00"/>
    <s v="CUST0915"/>
    <s v="Amit"/>
    <s v="Male"/>
    <n v="38"/>
    <s v="Mumbai"/>
    <x v="1"/>
    <s v="Home Office"/>
    <x v="0"/>
    <s v="Credit Card"/>
    <s v="Delivered"/>
    <n v="2"/>
    <n v="17555"/>
    <n v="35110"/>
    <n v="9463.81"/>
    <n v="0.26954742238678436"/>
  </r>
  <r>
    <s v="ORD0916"/>
    <d v="2024-04-01T00:00:00"/>
    <s v="CUST0916"/>
    <s v="Aarav"/>
    <s v="Male"/>
    <n v="55"/>
    <s v="Hyderabad"/>
    <x v="0"/>
    <s v="Home Office"/>
    <x v="1"/>
    <s v="Net Banking"/>
    <s v="Returned"/>
    <n v="2"/>
    <n v="9808"/>
    <n v="18635.2"/>
    <n v="6008.56"/>
    <n v="0.32243066884176186"/>
  </r>
  <r>
    <s v="ORD0917"/>
    <d v="2024-04-24T00:00:00"/>
    <s v="CUST0917"/>
    <s v="Pooja"/>
    <s v="Female"/>
    <n v="49"/>
    <s v="Delhi"/>
    <x v="0"/>
    <s v="Corporate"/>
    <x v="2"/>
    <s v="Net Banking"/>
    <s v="Delivered"/>
    <n v="1"/>
    <n v="22795"/>
    <n v="22795"/>
    <n v="7291.13"/>
    <n v="0.3198565474884843"/>
  </r>
  <r>
    <s v="ORD0918"/>
    <d v="2024-06-16T00:00:00"/>
    <s v="CUST0918"/>
    <s v="Vikram"/>
    <s v="Male"/>
    <n v="58"/>
    <s v="Chennai"/>
    <x v="2"/>
    <s v="Corporate"/>
    <x v="1"/>
    <s v="Net Banking"/>
    <s v="Cancelled"/>
    <n v="4"/>
    <n v="45536"/>
    <n v="145715.20000000001"/>
    <n v="42352.63"/>
    <n v="0.29065348021345744"/>
  </r>
  <r>
    <s v="ORD0919"/>
    <d v="2024-09-03T00:00:00"/>
    <s v="CUST0919"/>
    <s v="Ananya"/>
    <s v="Female"/>
    <n v="59"/>
    <s v="Bangalore"/>
    <x v="0"/>
    <s v="Corporate"/>
    <x v="2"/>
    <s v="Credit Card"/>
    <s v="Returned"/>
    <n v="5"/>
    <n v="45714"/>
    <n v="217141.5"/>
    <n v="58247.13"/>
    <n v="0.26824503837359509"/>
  </r>
  <r>
    <s v="ORD0920"/>
    <d v="2024-03-23T00:00:00"/>
    <s v="CUST0920"/>
    <s v="Pooja"/>
    <s v="Male"/>
    <n v="34"/>
    <s v="Bangalore"/>
    <x v="1"/>
    <s v="Consumer"/>
    <x v="4"/>
    <s v="UPI"/>
    <s v="Returned"/>
    <n v="5"/>
    <n v="9417"/>
    <n v="47085"/>
    <n v="8542.19"/>
    <n v="0.18142062227885739"/>
  </r>
  <r>
    <s v="ORD0921"/>
    <d v="2024-09-28T00:00:00"/>
    <s v="CUST0921"/>
    <s v="Sneha"/>
    <s v="Female"/>
    <n v="44"/>
    <s v="Bangalore"/>
    <x v="1"/>
    <s v="Consumer"/>
    <x v="1"/>
    <s v="Net Banking"/>
    <s v="Returned"/>
    <n v="4"/>
    <n v="36947"/>
    <n v="133009.20000000001"/>
    <n v="43680.86"/>
    <n v="0.32840480207384148"/>
  </r>
  <r>
    <s v="ORD0922"/>
    <d v="2024-05-16T00:00:00"/>
    <s v="CUST0922"/>
    <s v="Sneha"/>
    <s v="Male"/>
    <n v="25"/>
    <s v="Hyderabad"/>
    <x v="0"/>
    <s v="Consumer"/>
    <x v="3"/>
    <s v="Credit Card"/>
    <s v="Pending"/>
    <n v="3"/>
    <n v="1077"/>
    <n v="2907.9"/>
    <n v="621.42999999999995"/>
    <n v="0.21370404759448397"/>
  </r>
  <r>
    <s v="ORD0923"/>
    <d v="2024-06-20T00:00:00"/>
    <s v="CUST0923"/>
    <s v="Ananya"/>
    <s v="Male"/>
    <n v="35"/>
    <s v="Pune"/>
    <x v="0"/>
    <s v="Corporate"/>
    <x v="1"/>
    <s v="Debit Card"/>
    <s v="Delivered"/>
    <n v="5"/>
    <n v="34998"/>
    <n v="157491"/>
    <n v="41794.25"/>
    <n v="0.26537548177356168"/>
  </r>
  <r>
    <s v="ORD0924"/>
    <d v="2024-04-10T00:00:00"/>
    <s v="CUST0924"/>
    <s v="Vikram"/>
    <s v="Male"/>
    <n v="60"/>
    <s v="Pune"/>
    <x v="0"/>
    <s v="Corporate"/>
    <x v="0"/>
    <s v="Credit Card"/>
    <s v="Returned"/>
    <n v="3"/>
    <n v="34655"/>
    <n v="83172"/>
    <n v="23795.64"/>
    <n v="0.28610157264464003"/>
  </r>
  <r>
    <s v="ORD0925"/>
    <d v="2024-03-05T00:00:00"/>
    <s v="CUST0925"/>
    <s v="Sneha"/>
    <s v="Male"/>
    <n v="48"/>
    <s v="Bangalore"/>
    <x v="2"/>
    <s v="Home Office"/>
    <x v="3"/>
    <s v="Debit Card"/>
    <s v="Delivered"/>
    <n v="1"/>
    <n v="22943"/>
    <n v="19501.55"/>
    <n v="5823.13"/>
    <n v="0.2985983165440696"/>
  </r>
  <r>
    <s v="ORD0926"/>
    <d v="2024-09-24T00:00:00"/>
    <s v="CUST0926"/>
    <s v="Vikram"/>
    <s v="Male"/>
    <n v="57"/>
    <s v="Mumbai"/>
    <x v="0"/>
    <s v="Home Office"/>
    <x v="4"/>
    <s v="Net Banking"/>
    <s v="Cancelled"/>
    <n v="1"/>
    <n v="46239"/>
    <n v="39303.15"/>
    <n v="11708.25"/>
    <n v="0.29789597017032987"/>
  </r>
  <r>
    <s v="ORD0927"/>
    <d v="2024-08-31T00:00:00"/>
    <s v="CUST0927"/>
    <s v="Rohan"/>
    <s v="Male"/>
    <n v="51"/>
    <s v="Mumbai"/>
    <x v="0"/>
    <s v="Home Office"/>
    <x v="1"/>
    <s v="Credit Card"/>
    <s v="Returned"/>
    <n v="2"/>
    <n v="44488"/>
    <n v="84527.2"/>
    <n v="26150.79"/>
    <n v="0.30937721822088038"/>
  </r>
  <r>
    <s v="ORD0928"/>
    <d v="2024-04-25T00:00:00"/>
    <s v="CUST0928"/>
    <s v="Aarav"/>
    <s v="Female"/>
    <n v="59"/>
    <s v="Delhi"/>
    <x v="0"/>
    <s v="Home Office"/>
    <x v="2"/>
    <s v="Cash on Delivery"/>
    <s v="Pending"/>
    <n v="1"/>
    <n v="20361"/>
    <n v="16288.8"/>
    <n v="3993.15"/>
    <n v="0.24514697215264478"/>
  </r>
  <r>
    <s v="ORD0929"/>
    <d v="2024-11-27T00:00:00"/>
    <s v="CUST0929"/>
    <s v="Priya"/>
    <s v="Male"/>
    <n v="56"/>
    <s v="Bangalore"/>
    <x v="2"/>
    <s v="Home Office"/>
    <x v="2"/>
    <s v="Debit Card"/>
    <s v="Returned"/>
    <n v="4"/>
    <n v="36242"/>
    <n v="130471.2"/>
    <n v="50235.95"/>
    <n v="0.38503478162230437"/>
  </r>
  <r>
    <s v="ORD0930"/>
    <d v="2024-08-04T00:00:00"/>
    <s v="CUST0930"/>
    <s v="Priya"/>
    <s v="Female"/>
    <n v="43"/>
    <s v="Bangalore"/>
    <x v="0"/>
    <s v="Corporate"/>
    <x v="4"/>
    <s v="Net Banking"/>
    <s v="Cancelled"/>
    <n v="4"/>
    <n v="34263"/>
    <n v="116494.2"/>
    <n v="28750.57"/>
    <n v="0.24679829553746024"/>
  </r>
  <r>
    <s v="ORD0931"/>
    <d v="2024-10-31T00:00:00"/>
    <s v="CUST0931"/>
    <s v="Priya"/>
    <s v="Female"/>
    <n v="59"/>
    <s v="Hyderabad"/>
    <x v="0"/>
    <s v="Corporate"/>
    <x v="1"/>
    <s v="Credit Card"/>
    <s v="Pending"/>
    <n v="4"/>
    <n v="40646"/>
    <n v="146325.6"/>
    <n v="42474.080000000002"/>
    <n v="0.29027101204437228"/>
  </r>
  <r>
    <s v="ORD0932"/>
    <d v="2024-11-01T00:00:00"/>
    <s v="CUST0932"/>
    <s v="Pooja"/>
    <s v="Male"/>
    <n v="47"/>
    <s v="Pune"/>
    <x v="2"/>
    <s v="Home Office"/>
    <x v="2"/>
    <s v="Credit Card"/>
    <s v="Pending"/>
    <n v="4"/>
    <n v="32837"/>
    <n v="131348"/>
    <n v="24552.66"/>
    <n v="0.18692831257423029"/>
  </r>
  <r>
    <s v="ORD0933"/>
    <d v="2024-02-21T00:00:00"/>
    <s v="CUST0933"/>
    <s v="Sneha"/>
    <s v="Male"/>
    <n v="38"/>
    <s v="Pune"/>
    <x v="1"/>
    <s v="Home Office"/>
    <x v="3"/>
    <s v="Cash on Delivery"/>
    <s v="Pending"/>
    <n v="5"/>
    <n v="33745"/>
    <n v="160288.75"/>
    <n v="30068.17"/>
    <n v="0.18758752563732636"/>
  </r>
  <r>
    <s v="ORD0934"/>
    <d v="2024-12-09T00:00:00"/>
    <s v="CUST0934"/>
    <s v="Priya"/>
    <s v="Male"/>
    <n v="49"/>
    <s v="Mumbai"/>
    <x v="2"/>
    <s v="Consumer"/>
    <x v="3"/>
    <s v="Cash on Delivery"/>
    <s v="Pending"/>
    <n v="5"/>
    <n v="43602"/>
    <n v="174408"/>
    <n v="47605.86"/>
    <n v="0.27295685977707446"/>
  </r>
  <r>
    <s v="ORD0935"/>
    <d v="2024-06-13T00:00:00"/>
    <s v="CUST0935"/>
    <s v="Sneha"/>
    <s v="Male"/>
    <n v="22"/>
    <s v="Delhi"/>
    <x v="0"/>
    <s v="Consumer"/>
    <x v="4"/>
    <s v="UPI"/>
    <s v="Pending"/>
    <n v="3"/>
    <n v="47300"/>
    <n v="120615"/>
    <n v="22062.42"/>
    <n v="0.18291605521701279"/>
  </r>
  <r>
    <s v="ORD0936"/>
    <d v="2024-09-20T00:00:00"/>
    <s v="CUST0936"/>
    <s v="Pooja"/>
    <s v="Female"/>
    <n v="54"/>
    <s v="Hyderabad"/>
    <x v="1"/>
    <s v="Corporate"/>
    <x v="0"/>
    <s v="UPI"/>
    <s v="Returned"/>
    <n v="1"/>
    <n v="38491"/>
    <n v="30792.799999999999"/>
    <n v="10275.5"/>
    <n v="0.33369813722688424"/>
  </r>
  <r>
    <s v="ORD0937"/>
    <d v="2024-08-19T00:00:00"/>
    <s v="CUST0937"/>
    <s v="Sneha"/>
    <s v="Male"/>
    <n v="43"/>
    <s v="Pune"/>
    <x v="0"/>
    <s v="Corporate"/>
    <x v="0"/>
    <s v="Net Banking"/>
    <s v="Returned"/>
    <n v="4"/>
    <n v="30647"/>
    <n v="104199.8"/>
    <n v="27200.87"/>
    <n v="0.26104531870502629"/>
  </r>
  <r>
    <s v="ORD0938"/>
    <d v="2024-08-05T00:00:00"/>
    <s v="CUST0938"/>
    <s v="Neha"/>
    <s v="Male"/>
    <n v="25"/>
    <s v="Chennai"/>
    <x v="0"/>
    <s v="Consumer"/>
    <x v="0"/>
    <s v="Cash on Delivery"/>
    <s v="Delivered"/>
    <n v="5"/>
    <n v="27334"/>
    <n v="136670"/>
    <n v="49340.51"/>
    <n v="0.36101931660203412"/>
  </r>
  <r>
    <s v="ORD0939"/>
    <d v="2024-02-03T00:00:00"/>
    <s v="CUST0939"/>
    <s v="Priya"/>
    <s v="Male"/>
    <n v="24"/>
    <s v="Delhi"/>
    <x v="1"/>
    <s v="Consumer"/>
    <x v="1"/>
    <s v="Cash on Delivery"/>
    <s v="Returned"/>
    <n v="2"/>
    <n v="23821"/>
    <n v="38113.599999999999"/>
    <n v="8883.5400000000009"/>
    <n v="0.23308058016036273"/>
  </r>
  <r>
    <s v="ORD0940"/>
    <d v="2024-03-25T00:00:00"/>
    <s v="CUST0940"/>
    <s v="Aarav"/>
    <s v="Male"/>
    <n v="22"/>
    <s v="Pune"/>
    <x v="1"/>
    <s v="Home Office"/>
    <x v="2"/>
    <s v="Net Banking"/>
    <s v="Pending"/>
    <n v="2"/>
    <n v="38447"/>
    <n v="69204.600000000006"/>
    <n v="15806.22"/>
    <n v="0.22839840126234381"/>
  </r>
  <r>
    <s v="ORD0941"/>
    <d v="2024-01-19T00:00:00"/>
    <s v="CUST0941"/>
    <s v="Vikram"/>
    <s v="Female"/>
    <n v="37"/>
    <s v="Delhi"/>
    <x v="0"/>
    <s v="Home Office"/>
    <x v="3"/>
    <s v="Debit Card"/>
    <s v="Delivered"/>
    <n v="5"/>
    <n v="46642"/>
    <n v="233210"/>
    <n v="51936.06"/>
    <n v="0.22270082758029244"/>
  </r>
  <r>
    <s v="ORD0942"/>
    <d v="2024-10-25T00:00:00"/>
    <s v="CUST0942"/>
    <s v="Pooja"/>
    <s v="Female"/>
    <n v="46"/>
    <s v="Bangalore"/>
    <x v="2"/>
    <s v="Home Office"/>
    <x v="1"/>
    <s v="Cash on Delivery"/>
    <s v="Cancelled"/>
    <n v="1"/>
    <n v="14514"/>
    <n v="12336.9"/>
    <n v="4363.47"/>
    <n v="0.35369258079420279"/>
  </r>
  <r>
    <s v="ORD0943"/>
    <d v="2024-03-08T00:00:00"/>
    <s v="CUST0943"/>
    <s v="Rohan"/>
    <s v="Female"/>
    <n v="56"/>
    <s v="Bangalore"/>
    <x v="0"/>
    <s v="Home Office"/>
    <x v="0"/>
    <s v="Credit Card"/>
    <s v="Delivered"/>
    <n v="3"/>
    <n v="17964"/>
    <n v="48502.8"/>
    <n v="17037.98"/>
    <n v="0.35127827671804512"/>
  </r>
  <r>
    <s v="ORD0944"/>
    <d v="2024-02-01T00:00:00"/>
    <s v="CUST0944"/>
    <s v="Priya"/>
    <s v="Female"/>
    <n v="34"/>
    <s v="Mumbai"/>
    <x v="2"/>
    <s v="Corporate"/>
    <x v="2"/>
    <s v="Credit Card"/>
    <s v="Delivered"/>
    <n v="1"/>
    <n v="14266"/>
    <n v="12126.1"/>
    <n v="3747.26"/>
    <n v="0.30902433593653361"/>
  </r>
  <r>
    <s v="ORD0945"/>
    <d v="2024-02-19T00:00:00"/>
    <s v="CUST0945"/>
    <s v="Aarav"/>
    <s v="Male"/>
    <n v="30"/>
    <s v="Chennai"/>
    <x v="1"/>
    <s v="Consumer"/>
    <x v="3"/>
    <s v="Credit Card"/>
    <s v="Returned"/>
    <n v="4"/>
    <n v="33250"/>
    <n v="133000"/>
    <n v="40232.25"/>
    <n v="0.3024981203007519"/>
  </r>
  <r>
    <s v="ORD0946"/>
    <d v="2024-09-13T00:00:00"/>
    <s v="CUST0946"/>
    <s v="Ananya"/>
    <s v="Male"/>
    <n v="52"/>
    <s v="Chennai"/>
    <x v="0"/>
    <s v="Corporate"/>
    <x v="1"/>
    <s v="Debit Card"/>
    <s v="Returned"/>
    <n v="5"/>
    <n v="13784"/>
    <n v="68920"/>
    <n v="15422.81"/>
    <n v="0.22377843876958792"/>
  </r>
  <r>
    <s v="ORD0947"/>
    <d v="2024-07-30T00:00:00"/>
    <s v="CUST0947"/>
    <s v="Rahul"/>
    <s v="Female"/>
    <n v="52"/>
    <s v="Hyderabad"/>
    <x v="1"/>
    <s v="Corporate"/>
    <x v="4"/>
    <s v="UPI"/>
    <s v="Returned"/>
    <n v="1"/>
    <n v="29675"/>
    <n v="29675"/>
    <n v="9287.61"/>
    <n v="0.31297759056444818"/>
  </r>
  <r>
    <s v="ORD0948"/>
    <d v="2024-03-09T00:00:00"/>
    <s v="CUST0948"/>
    <s v="Pooja"/>
    <s v="Male"/>
    <n v="24"/>
    <s v="Chennai"/>
    <x v="0"/>
    <s v="Home Office"/>
    <x v="1"/>
    <s v="Net Banking"/>
    <s v="Pending"/>
    <n v="2"/>
    <n v="8064"/>
    <n v="13708.8"/>
    <n v="5132.08"/>
    <n v="0.37436391223155929"/>
  </r>
  <r>
    <s v="ORD0949"/>
    <d v="2024-11-21T00:00:00"/>
    <s v="CUST0949"/>
    <s v="Sneha"/>
    <s v="Male"/>
    <n v="26"/>
    <s v="Mumbai"/>
    <x v="0"/>
    <s v="Consumer"/>
    <x v="2"/>
    <s v="Debit Card"/>
    <s v="Delivered"/>
    <n v="5"/>
    <n v="38008"/>
    <n v="161534"/>
    <n v="47187.47"/>
    <n v="0.29212097762700112"/>
  </r>
  <r>
    <s v="ORD0950"/>
    <d v="2024-04-01T00:00:00"/>
    <s v="CUST0950"/>
    <s v="Amit"/>
    <s v="Male"/>
    <n v="31"/>
    <s v="Chennai"/>
    <x v="0"/>
    <s v="Home Office"/>
    <x v="1"/>
    <s v="Net Banking"/>
    <s v="Cancelled"/>
    <n v="2"/>
    <n v="39279"/>
    <n v="74630.100000000006"/>
    <n v="23150.07"/>
    <n v="0.31019749404060826"/>
  </r>
  <r>
    <s v="ORD0951"/>
    <d v="2024-12-14T00:00:00"/>
    <s v="CUST0951"/>
    <s v="Rahul"/>
    <s v="Male"/>
    <n v="49"/>
    <s v="Delhi"/>
    <x v="0"/>
    <s v="Corporate"/>
    <x v="4"/>
    <s v="Net Banking"/>
    <s v="Pending"/>
    <n v="3"/>
    <n v="32405"/>
    <n v="77772"/>
    <n v="18309.169999999998"/>
    <n v="0.23542110271048705"/>
  </r>
  <r>
    <s v="ORD0952"/>
    <d v="2024-05-26T00:00:00"/>
    <s v="CUST0952"/>
    <s v="Vikram"/>
    <s v="Male"/>
    <n v="55"/>
    <s v="Pune"/>
    <x v="2"/>
    <s v="Corporate"/>
    <x v="3"/>
    <s v="Cash on Delivery"/>
    <s v="Delivered"/>
    <n v="4"/>
    <n v="27256"/>
    <n v="87219.199999999997"/>
    <n v="16800.84"/>
    <n v="0.19262777003228648"/>
  </r>
  <r>
    <s v="ORD0953"/>
    <d v="2024-01-01T00:00:00"/>
    <s v="CUST0953"/>
    <s v="Neha"/>
    <s v="Female"/>
    <n v="37"/>
    <s v="Delhi"/>
    <x v="0"/>
    <s v="Consumer"/>
    <x v="1"/>
    <s v="UPI"/>
    <s v="Returned"/>
    <n v="3"/>
    <n v="12474"/>
    <n v="31808.7"/>
    <n v="5055.37"/>
    <n v="0.15893041840754257"/>
  </r>
  <r>
    <s v="ORD0954"/>
    <d v="2024-11-07T00:00:00"/>
    <s v="CUST0954"/>
    <s v="Priya"/>
    <s v="Male"/>
    <n v="35"/>
    <s v="Pune"/>
    <x v="0"/>
    <s v="Consumer"/>
    <x v="4"/>
    <s v="Cash on Delivery"/>
    <s v="Returned"/>
    <n v="1"/>
    <n v="3814"/>
    <n v="3051.2"/>
    <n v="818.88"/>
    <n v="0.26837965390665969"/>
  </r>
  <r>
    <s v="ORD0955"/>
    <d v="2024-10-02T00:00:00"/>
    <s v="CUST0955"/>
    <s v="Vikram"/>
    <s v="Male"/>
    <n v="39"/>
    <s v="Pune"/>
    <x v="0"/>
    <s v="Corporate"/>
    <x v="0"/>
    <s v="Net Banking"/>
    <s v="Delivered"/>
    <n v="3"/>
    <n v="40142"/>
    <n v="96340.800000000003"/>
    <n v="18336.849999999999"/>
    <n v="0.19033317140816766"/>
  </r>
  <r>
    <s v="ORD0956"/>
    <d v="2024-09-01T00:00:00"/>
    <s v="CUST0956"/>
    <s v="Rahul"/>
    <s v="Female"/>
    <n v="38"/>
    <s v="Bangalore"/>
    <x v="1"/>
    <s v="Corporate"/>
    <x v="1"/>
    <s v="Debit Card"/>
    <s v="Cancelled"/>
    <n v="1"/>
    <n v="11795"/>
    <n v="9436"/>
    <n v="2288.7399999999998"/>
    <n v="0.24255404832556166"/>
  </r>
  <r>
    <s v="ORD0957"/>
    <d v="2024-11-10T00:00:00"/>
    <s v="CUST0957"/>
    <s v="Rahul"/>
    <s v="Male"/>
    <n v="34"/>
    <s v="Bangalore"/>
    <x v="0"/>
    <s v="Corporate"/>
    <x v="2"/>
    <s v="Cash on Delivery"/>
    <s v="Returned"/>
    <n v="5"/>
    <n v="15795"/>
    <n v="63180"/>
    <n v="13897.15"/>
    <n v="0.21996122190566633"/>
  </r>
  <r>
    <s v="ORD0958"/>
    <d v="2024-02-09T00:00:00"/>
    <s v="CUST0958"/>
    <s v="Neha"/>
    <s v="Female"/>
    <n v="39"/>
    <s v="Pune"/>
    <x v="0"/>
    <s v="Corporate"/>
    <x v="1"/>
    <s v="Net Banking"/>
    <s v="Pending"/>
    <n v="4"/>
    <n v="13345"/>
    <n v="50711"/>
    <n v="9440.18"/>
    <n v="0.18615645520695709"/>
  </r>
  <r>
    <s v="ORD0959"/>
    <d v="2024-11-13T00:00:00"/>
    <s v="CUST0959"/>
    <s v="Amit"/>
    <s v="Female"/>
    <n v="37"/>
    <s v="Mumbai"/>
    <x v="1"/>
    <s v="Consumer"/>
    <x v="3"/>
    <s v="Net Banking"/>
    <s v="Returned"/>
    <n v="1"/>
    <n v="6968"/>
    <n v="5922.8"/>
    <n v="1761.99"/>
    <n v="0.29749273992030795"/>
  </r>
  <r>
    <s v="ORD0960"/>
    <d v="2024-07-23T00:00:00"/>
    <s v="CUST0960"/>
    <s v="Vikram"/>
    <s v="Female"/>
    <n v="54"/>
    <s v="Chennai"/>
    <x v="0"/>
    <s v="Home Office"/>
    <x v="3"/>
    <s v="Cash on Delivery"/>
    <s v="Cancelled"/>
    <n v="2"/>
    <n v="5242"/>
    <n v="8911.4"/>
    <n v="2182.4699999999998"/>
    <n v="0.24490764638552864"/>
  </r>
  <r>
    <s v="ORD0961"/>
    <d v="2024-01-04T00:00:00"/>
    <s v="CUST0961"/>
    <s v="Ananya"/>
    <s v="Male"/>
    <n v="55"/>
    <s v="Mumbai"/>
    <x v="1"/>
    <s v="Consumer"/>
    <x v="4"/>
    <s v="Cash on Delivery"/>
    <s v="Pending"/>
    <n v="2"/>
    <n v="14173"/>
    <n v="28346"/>
    <n v="11212.15"/>
    <n v="0.3955461087984195"/>
  </r>
  <r>
    <s v="ORD0962"/>
    <d v="2024-03-28T00:00:00"/>
    <s v="CUST0962"/>
    <s v="Rahul"/>
    <s v="Male"/>
    <n v="43"/>
    <s v="Mumbai"/>
    <x v="0"/>
    <s v="Home Office"/>
    <x v="2"/>
    <s v="UPI"/>
    <s v="Returned"/>
    <n v="5"/>
    <n v="9069"/>
    <n v="38543.25"/>
    <n v="9902.31"/>
    <n v="0.25691424568504212"/>
  </r>
  <r>
    <s v="ORD0963"/>
    <d v="2024-02-24T00:00:00"/>
    <s v="CUST0963"/>
    <s v="Rohan"/>
    <s v="Female"/>
    <n v="30"/>
    <s v="Pune"/>
    <x v="0"/>
    <s v="Home Office"/>
    <x v="2"/>
    <s v="Cash on Delivery"/>
    <s v="Pending"/>
    <n v="5"/>
    <n v="34661"/>
    <n v="173305"/>
    <n v="60903.59"/>
    <n v="0.35142430974293876"/>
  </r>
  <r>
    <s v="ORD0964"/>
    <d v="2024-11-23T00:00:00"/>
    <s v="CUST0964"/>
    <s v="Sneha"/>
    <s v="Female"/>
    <n v="52"/>
    <s v="Chennai"/>
    <x v="0"/>
    <s v="Corporate"/>
    <x v="3"/>
    <s v="Credit Card"/>
    <s v="Delivered"/>
    <n v="3"/>
    <n v="22149"/>
    <n v="63124.65"/>
    <n v="17574.32"/>
    <n v="0.27840661294755692"/>
  </r>
  <r>
    <s v="ORD0965"/>
    <d v="2024-11-02T00:00:00"/>
    <s v="CUST0965"/>
    <s v="Rahul"/>
    <s v="Male"/>
    <n v="54"/>
    <s v="Pune"/>
    <x v="0"/>
    <s v="Corporate"/>
    <x v="3"/>
    <s v="Debit Card"/>
    <s v="Delivered"/>
    <n v="4"/>
    <n v="47301"/>
    <n v="189204"/>
    <n v="43290.33"/>
    <n v="0.2288024037546775"/>
  </r>
  <r>
    <s v="ORD0966"/>
    <d v="2024-10-20T00:00:00"/>
    <s v="CUST0966"/>
    <s v="Neha"/>
    <s v="Female"/>
    <n v="53"/>
    <s v="Delhi"/>
    <x v="2"/>
    <s v="Home Office"/>
    <x v="2"/>
    <s v="Net Banking"/>
    <s v="Returned"/>
    <n v="1"/>
    <n v="4792"/>
    <n v="4312.8"/>
    <n v="1176.73"/>
    <n v="0.27284594694861808"/>
  </r>
  <r>
    <s v="ORD0967"/>
    <d v="2024-04-11T00:00:00"/>
    <s v="CUST0967"/>
    <s v="Priya"/>
    <s v="Male"/>
    <n v="52"/>
    <s v="Delhi"/>
    <x v="2"/>
    <s v="Consumer"/>
    <x v="3"/>
    <s v="Net Banking"/>
    <s v="Cancelled"/>
    <n v="1"/>
    <n v="41998"/>
    <n v="33598.400000000001"/>
    <n v="9768.7000000000007"/>
    <n v="0.29074896423639224"/>
  </r>
  <r>
    <s v="ORD0968"/>
    <d v="2024-05-19T00:00:00"/>
    <s v="CUST0968"/>
    <s v="Ananya"/>
    <s v="Male"/>
    <n v="29"/>
    <s v="Pune"/>
    <x v="0"/>
    <s v="Consumer"/>
    <x v="4"/>
    <s v="Credit Card"/>
    <s v="Cancelled"/>
    <n v="4"/>
    <n v="15657"/>
    <n v="62628"/>
    <n v="19474.3"/>
    <n v="0.31095197036469308"/>
  </r>
  <r>
    <s v="ORD0969"/>
    <d v="2024-04-16T00:00:00"/>
    <s v="CUST0969"/>
    <s v="Rohan"/>
    <s v="Female"/>
    <n v="24"/>
    <s v="Bangalore"/>
    <x v="2"/>
    <s v="Consumer"/>
    <x v="2"/>
    <s v="UPI"/>
    <s v="Pending"/>
    <n v="5"/>
    <n v="41766"/>
    <n v="167064"/>
    <n v="59322.87"/>
    <n v="0.35509068380979747"/>
  </r>
  <r>
    <s v="ORD0970"/>
    <d v="2024-06-21T00:00:00"/>
    <s v="CUST0970"/>
    <s v="Aarav"/>
    <s v="Female"/>
    <n v="45"/>
    <s v="Mumbai"/>
    <x v="2"/>
    <s v="Home Office"/>
    <x v="0"/>
    <s v="Cash on Delivery"/>
    <s v="Pending"/>
    <n v="4"/>
    <n v="24336"/>
    <n v="92476.800000000003"/>
    <n v="33156.17"/>
    <n v="0.35853500553652373"/>
  </r>
  <r>
    <s v="ORD0971"/>
    <d v="2024-03-24T00:00:00"/>
    <s v="CUST0971"/>
    <s v="Ananya"/>
    <s v="Female"/>
    <n v="19"/>
    <s v="Bangalore"/>
    <x v="1"/>
    <s v="Consumer"/>
    <x v="3"/>
    <s v="Debit Card"/>
    <s v="Returned"/>
    <n v="1"/>
    <n v="26556"/>
    <n v="26556"/>
    <n v="5378.23"/>
    <n v="0.20252410001506249"/>
  </r>
  <r>
    <s v="ORD0972"/>
    <d v="2024-08-18T00:00:00"/>
    <s v="CUST0972"/>
    <s v="Pooja"/>
    <s v="Female"/>
    <n v="41"/>
    <s v="Hyderabad"/>
    <x v="1"/>
    <s v="Home Office"/>
    <x v="2"/>
    <s v="UPI"/>
    <s v="Cancelled"/>
    <n v="2"/>
    <n v="44311"/>
    <n v="79759.8"/>
    <n v="14116.75"/>
    <n v="0.17699078984651415"/>
  </r>
  <r>
    <s v="ORD0973"/>
    <d v="2024-10-21T00:00:00"/>
    <s v="CUST0973"/>
    <s v="Neha"/>
    <s v="Female"/>
    <n v="27"/>
    <s v="Bangalore"/>
    <x v="1"/>
    <s v="Home Office"/>
    <x v="4"/>
    <s v="UPI"/>
    <s v="Delivered"/>
    <n v="3"/>
    <n v="26340"/>
    <n v="71118"/>
    <n v="12258.81"/>
    <n v="0.1723728170083523"/>
  </r>
  <r>
    <s v="ORD0974"/>
    <d v="2024-03-11T00:00:00"/>
    <s v="CUST0974"/>
    <s v="Pooja"/>
    <s v="Female"/>
    <n v="44"/>
    <s v="Delhi"/>
    <x v="0"/>
    <s v="Home Office"/>
    <x v="2"/>
    <s v="Cash on Delivery"/>
    <s v="Pending"/>
    <n v="5"/>
    <n v="12824"/>
    <n v="57708"/>
    <n v="19144.63"/>
    <n v="0.33175001732861997"/>
  </r>
  <r>
    <s v="ORD0975"/>
    <d v="2024-11-28T00:00:00"/>
    <s v="CUST0975"/>
    <s v="Neha"/>
    <s v="Male"/>
    <n v="53"/>
    <s v="Hyderabad"/>
    <x v="2"/>
    <s v="Home Office"/>
    <x v="2"/>
    <s v="Debit Card"/>
    <s v="Delivered"/>
    <n v="1"/>
    <n v="8938"/>
    <n v="7150.4"/>
    <n v="2407.4"/>
    <n v="0.33668046542850755"/>
  </r>
  <r>
    <s v="ORD0976"/>
    <d v="2024-07-15T00:00:00"/>
    <s v="CUST0976"/>
    <s v="Sneha"/>
    <s v="Male"/>
    <n v="19"/>
    <s v="Pune"/>
    <x v="1"/>
    <s v="Corporate"/>
    <x v="4"/>
    <s v="Credit Card"/>
    <s v="Cancelled"/>
    <n v="5"/>
    <n v="15778"/>
    <n v="71001"/>
    <n v="14185.4"/>
    <n v="0.1997915522316587"/>
  </r>
  <r>
    <s v="ORD0977"/>
    <d v="2024-01-13T00:00:00"/>
    <s v="CUST0977"/>
    <s v="Rahul"/>
    <s v="Female"/>
    <n v="34"/>
    <s v="Bangalore"/>
    <x v="1"/>
    <s v="Corporate"/>
    <x v="0"/>
    <s v="Net Banking"/>
    <s v="Returned"/>
    <n v="4"/>
    <n v="8966"/>
    <n v="34070.800000000003"/>
    <n v="6504.26"/>
    <n v="0.19090423471124834"/>
  </r>
  <r>
    <s v="ORD0978"/>
    <d v="2024-06-25T00:00:00"/>
    <s v="CUST0978"/>
    <s v="Rohan"/>
    <s v="Female"/>
    <n v="44"/>
    <s v="Pune"/>
    <x v="1"/>
    <s v="Home Office"/>
    <x v="2"/>
    <s v="Credit Card"/>
    <s v="Delivered"/>
    <n v="2"/>
    <n v="20750"/>
    <n v="35275"/>
    <n v="12619.07"/>
    <n v="0.35773408929836992"/>
  </r>
  <r>
    <s v="ORD0979"/>
    <d v="2024-12-15T00:00:00"/>
    <s v="CUST0979"/>
    <s v="Ananya"/>
    <s v="Male"/>
    <n v="38"/>
    <s v="Chennai"/>
    <x v="0"/>
    <s v="Corporate"/>
    <x v="3"/>
    <s v="Cash on Delivery"/>
    <s v="Pending"/>
    <n v="5"/>
    <n v="46737"/>
    <n v="222000.75"/>
    <n v="62698.15"/>
    <n v="0.28242314496685261"/>
  </r>
  <r>
    <s v="ORD0980"/>
    <d v="2024-04-06T00:00:00"/>
    <s v="CUST0980"/>
    <s v="Priya"/>
    <s v="Female"/>
    <n v="56"/>
    <s v="Chennai"/>
    <x v="0"/>
    <s v="Home Office"/>
    <x v="4"/>
    <s v="Credit Card"/>
    <s v="Delivered"/>
    <n v="3"/>
    <n v="24959"/>
    <n v="74877"/>
    <n v="13848.06"/>
    <n v="0.18494410833767377"/>
  </r>
  <r>
    <s v="ORD0981"/>
    <d v="2024-04-01T00:00:00"/>
    <s v="CUST0981"/>
    <s v="Priya"/>
    <s v="Female"/>
    <n v="59"/>
    <s v="Mumbai"/>
    <x v="1"/>
    <s v="Home Office"/>
    <x v="0"/>
    <s v="UPI"/>
    <s v="Pending"/>
    <n v="4"/>
    <n v="21562"/>
    <n v="86248"/>
    <n v="34325.86"/>
    <n v="0.39799021426583808"/>
  </r>
  <r>
    <s v="ORD0982"/>
    <d v="2024-01-16T00:00:00"/>
    <s v="CUST0982"/>
    <s v="Ananya"/>
    <s v="Female"/>
    <n v="29"/>
    <s v="Bangalore"/>
    <x v="0"/>
    <s v="Home Office"/>
    <x v="2"/>
    <s v="Debit Card"/>
    <s v="Delivered"/>
    <n v="4"/>
    <n v="29459"/>
    <n v="94268.800000000003"/>
    <n v="31076.76"/>
    <n v="0.329661139210428"/>
  </r>
  <r>
    <s v="ORD0983"/>
    <d v="2024-11-05T00:00:00"/>
    <s v="CUST0983"/>
    <s v="Priya"/>
    <s v="Male"/>
    <n v="40"/>
    <s v="Hyderabad"/>
    <x v="2"/>
    <s v="Home Office"/>
    <x v="0"/>
    <s v="Net Banking"/>
    <s v="Returned"/>
    <n v="2"/>
    <n v="44709"/>
    <n v="76005.3"/>
    <n v="28018.53"/>
    <n v="0.36863916069010971"/>
  </r>
  <r>
    <s v="ORD0984"/>
    <d v="2024-04-11T00:00:00"/>
    <s v="CUST0984"/>
    <s v="Ananya"/>
    <s v="Male"/>
    <n v="40"/>
    <s v="Bangalore"/>
    <x v="0"/>
    <s v="Home Office"/>
    <x v="3"/>
    <s v="Credit Card"/>
    <s v="Cancelled"/>
    <n v="4"/>
    <n v="7503"/>
    <n v="25510.2"/>
    <n v="7742.6"/>
    <n v="0.30350996856159496"/>
  </r>
  <r>
    <s v="ORD0985"/>
    <d v="2024-07-23T00:00:00"/>
    <s v="CUST0985"/>
    <s v="Amit"/>
    <s v="Female"/>
    <n v="51"/>
    <s v="Mumbai"/>
    <x v="2"/>
    <s v="Corporate"/>
    <x v="3"/>
    <s v="UPI"/>
    <s v="Returned"/>
    <n v="3"/>
    <n v="39356"/>
    <n v="106261.2"/>
    <n v="34089.120000000003"/>
    <n v="0.32080495985364371"/>
  </r>
  <r>
    <s v="ORD0986"/>
    <d v="2024-01-06T00:00:00"/>
    <s v="CUST0986"/>
    <s v="Pooja"/>
    <s v="Female"/>
    <n v="24"/>
    <s v="Chennai"/>
    <x v="0"/>
    <s v="Consumer"/>
    <x v="3"/>
    <s v="Cash on Delivery"/>
    <s v="Cancelled"/>
    <n v="2"/>
    <n v="35658"/>
    <n v="67750.2"/>
    <n v="25367.3"/>
    <n v="0.37442398694025997"/>
  </r>
  <r>
    <s v="ORD0987"/>
    <d v="2024-07-15T00:00:00"/>
    <s v="CUST0987"/>
    <s v="Pooja"/>
    <s v="Male"/>
    <n v="20"/>
    <s v="Delhi"/>
    <x v="0"/>
    <s v="Corporate"/>
    <x v="1"/>
    <s v="Debit Card"/>
    <s v="Delivered"/>
    <n v="2"/>
    <n v="16748"/>
    <n v="26796.799999999999"/>
    <n v="7923.13"/>
    <n v="0.29567448352042036"/>
  </r>
  <r>
    <s v="ORD0988"/>
    <d v="2024-06-20T00:00:00"/>
    <s v="CUST0988"/>
    <s v="Rohan"/>
    <s v="Female"/>
    <n v="39"/>
    <s v="Delhi"/>
    <x v="0"/>
    <s v="Corporate"/>
    <x v="2"/>
    <s v="Debit Card"/>
    <s v="Returned"/>
    <n v="1"/>
    <n v="13756"/>
    <n v="11692.6"/>
    <n v="4103.32"/>
    <n v="0.35093306877854363"/>
  </r>
  <r>
    <s v="ORD0989"/>
    <d v="2024-01-28T00:00:00"/>
    <s v="CUST0989"/>
    <s v="Pooja"/>
    <s v="Female"/>
    <n v="23"/>
    <s v="Hyderabad"/>
    <x v="0"/>
    <s v="Home Office"/>
    <x v="3"/>
    <s v="Cash on Delivery"/>
    <s v="Pending"/>
    <n v="2"/>
    <n v="47233"/>
    <n v="85019.4"/>
    <n v="20185.04"/>
    <n v="0.23741687191393968"/>
  </r>
  <r>
    <s v="ORD0990"/>
    <d v="2024-01-04T00:00:00"/>
    <s v="CUST0990"/>
    <s v="Sneha"/>
    <s v="Female"/>
    <n v="35"/>
    <s v="Chennai"/>
    <x v="0"/>
    <s v="Corporate"/>
    <x v="1"/>
    <s v="Debit Card"/>
    <s v="Returned"/>
    <n v="3"/>
    <n v="9464"/>
    <n v="25552.799999999999"/>
    <n v="8618.2099999999991"/>
    <n v="0.33727067092451707"/>
  </r>
  <r>
    <s v="ORD0991"/>
    <d v="2024-07-24T00:00:00"/>
    <s v="CUST0991"/>
    <s v="Sneha"/>
    <s v="Female"/>
    <n v="54"/>
    <s v="Delhi"/>
    <x v="0"/>
    <s v="Consumer"/>
    <x v="2"/>
    <s v="Credit Card"/>
    <s v="Delivered"/>
    <n v="4"/>
    <n v="30778"/>
    <n v="110800.8"/>
    <n v="22461.75"/>
    <n v="0.20272191175514978"/>
  </r>
  <r>
    <s v="ORD0992"/>
    <d v="2024-07-01T00:00:00"/>
    <s v="CUST0992"/>
    <s v="Neha"/>
    <s v="Female"/>
    <n v="37"/>
    <s v="Pune"/>
    <x v="0"/>
    <s v="Consumer"/>
    <x v="4"/>
    <s v="Credit Card"/>
    <s v="Delivered"/>
    <n v="5"/>
    <n v="40779"/>
    <n v="173310.75"/>
    <n v="46331.28"/>
    <n v="0.26733067625637763"/>
  </r>
  <r>
    <s v="ORD0993"/>
    <d v="2024-03-09T00:00:00"/>
    <s v="CUST0993"/>
    <s v="Sneha"/>
    <s v="Female"/>
    <n v="51"/>
    <s v="Bangalore"/>
    <x v="0"/>
    <s v="Consumer"/>
    <x v="2"/>
    <s v="UPI"/>
    <s v="Cancelled"/>
    <n v="4"/>
    <n v="35590"/>
    <n v="135242"/>
    <n v="26769.64"/>
    <n v="0.19793880599222136"/>
  </r>
  <r>
    <s v="ORD0994"/>
    <d v="2024-07-06T00:00:00"/>
    <s v="CUST0994"/>
    <s v="Neha"/>
    <s v="Male"/>
    <n v="20"/>
    <s v="Hyderabad"/>
    <x v="0"/>
    <s v="Home Office"/>
    <x v="1"/>
    <s v="Cash on Delivery"/>
    <s v="Cancelled"/>
    <n v="1"/>
    <n v="29358"/>
    <n v="29358"/>
    <n v="7504.76"/>
    <n v="0.25562913004973092"/>
  </r>
  <r>
    <s v="ORD0995"/>
    <d v="2024-08-30T00:00:00"/>
    <s v="CUST0995"/>
    <s v="Amit"/>
    <s v="Male"/>
    <n v="56"/>
    <s v="Hyderabad"/>
    <x v="0"/>
    <s v="Consumer"/>
    <x v="2"/>
    <s v="Debit Card"/>
    <s v="Returned"/>
    <n v="2"/>
    <n v="22242"/>
    <n v="44484"/>
    <n v="7050.16"/>
    <n v="0.15848754608398524"/>
  </r>
  <r>
    <s v="ORD0996"/>
    <d v="2024-08-31T00:00:00"/>
    <s v="CUST0996"/>
    <s v="Rohan"/>
    <s v="Male"/>
    <n v="20"/>
    <s v="Bangalore"/>
    <x v="2"/>
    <s v="Consumer"/>
    <x v="0"/>
    <s v="Credit Card"/>
    <s v="Delivered"/>
    <n v="3"/>
    <n v="38094"/>
    <n v="91425.600000000006"/>
    <n v="16398.509999999998"/>
    <n v="0.17936453247230533"/>
  </r>
  <r>
    <s v="ORD0997"/>
    <d v="2024-09-07T00:00:00"/>
    <s v="CUST0997"/>
    <s v="Pooja"/>
    <s v="Female"/>
    <n v="22"/>
    <s v="Delhi"/>
    <x v="1"/>
    <s v="Consumer"/>
    <x v="4"/>
    <s v="Net Banking"/>
    <s v="Pending"/>
    <n v="5"/>
    <n v="37707"/>
    <n v="160254.75"/>
    <n v="60664.95"/>
    <n v="0.37855320981125362"/>
  </r>
  <r>
    <s v="ORD0998"/>
    <d v="2024-11-18T00:00:00"/>
    <s v="CUST0998"/>
    <s v="Rahul"/>
    <s v="Female"/>
    <n v="60"/>
    <s v="Pune"/>
    <x v="0"/>
    <s v="Consumer"/>
    <x v="1"/>
    <s v="Cash on Delivery"/>
    <s v="Delivered"/>
    <n v="5"/>
    <n v="24295"/>
    <n v="103253.75"/>
    <n v="21243.59"/>
    <n v="0.2057415832354757"/>
  </r>
  <r>
    <s v="ORD0999"/>
    <d v="2024-05-06T00:00:00"/>
    <s v="CUST0999"/>
    <s v="Vikram"/>
    <s v="Male"/>
    <n v="47"/>
    <s v="Mumbai"/>
    <x v="2"/>
    <s v="Home Office"/>
    <x v="0"/>
    <s v="Debit Card"/>
    <s v="Cancelled"/>
    <n v="1"/>
    <n v="4312"/>
    <n v="3449.6"/>
    <n v="1269.55"/>
    <n v="0.36802817717996289"/>
  </r>
  <r>
    <s v="ORD1000"/>
    <d v="2024-03-18T00:00:00"/>
    <s v="CUST1000"/>
    <s v="Aarav"/>
    <s v="Female"/>
    <n v="56"/>
    <s v="Hyderabad"/>
    <x v="1"/>
    <s v="Home Office"/>
    <x v="4"/>
    <s v="Cash on Delivery"/>
    <s v="Pending"/>
    <n v="1"/>
    <n v="28467"/>
    <n v="24196.95"/>
    <n v="4701.21"/>
    <n v="0.194289362915574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0ACA6E-495B-49DA-B156-712E47AE2FE1}" name="PivotTable8" cacheId="1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 rowHeaderCaption="Category" colHeaderCaption="Region">
  <location ref="K5:N12" firstHeaderRow="1" firstDataRow="2" firstDataCol="1"/>
  <pivotFields count="17">
    <pivotField showAll="0"/>
    <pivotField numFmtId="164" showAll="0"/>
    <pivotField showAll="0"/>
    <pivotField showAll="0"/>
    <pivotField showAll="0"/>
    <pivotField showAll="0"/>
    <pivotField showAll="0"/>
    <pivotField axis="axisCol" showAll="0">
      <items count="4">
        <item x="1"/>
        <item x="0"/>
        <item x="2"/>
        <item t="default"/>
      </items>
    </pivotField>
    <pivotField showAll="0"/>
    <pivotField axis="axisRow" showAll="0" sortType="descending">
      <items count="6">
        <item x="4"/>
        <item x="3"/>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numFmtId="9" showAll="0"/>
  </pivotFields>
  <rowFields count="1">
    <field x="9"/>
  </rowFields>
  <rowItems count="6">
    <i>
      <x/>
    </i>
    <i>
      <x v="2"/>
    </i>
    <i>
      <x v="1"/>
    </i>
    <i>
      <x v="4"/>
    </i>
    <i>
      <x v="3"/>
    </i>
    <i t="grand">
      <x/>
    </i>
  </rowItems>
  <colFields count="1">
    <field x="7"/>
  </colFields>
  <colItems count="3">
    <i>
      <x/>
    </i>
    <i>
      <x v="1"/>
    </i>
    <i>
      <x v="2"/>
    </i>
  </colItems>
  <dataFields count="1">
    <dataField name="Profit margin " fld="16" subtotal="average" baseField="9" baseItem="3" numFmtId="172"/>
  </dataFields>
  <formats count="10">
    <format dxfId="380">
      <pivotArea type="all" dataOnly="0" outline="0" fieldPosition="0"/>
    </format>
    <format dxfId="381">
      <pivotArea type="all" dataOnly="0" outline="0" fieldPosition="0"/>
    </format>
    <format dxfId="382">
      <pivotArea outline="0" collapsedLevelsAreSubtotals="1" fieldPosition="0"/>
    </format>
    <format dxfId="383">
      <pivotArea type="origin" dataOnly="0" labelOnly="1" outline="0" fieldPosition="0"/>
    </format>
    <format dxfId="384">
      <pivotArea field="7" type="button" dataOnly="0" labelOnly="1" outline="0" axis="axisCol" fieldPosition="0"/>
    </format>
    <format dxfId="385">
      <pivotArea type="topRight" dataOnly="0" labelOnly="1" outline="0" fieldPosition="0"/>
    </format>
    <format dxfId="386">
      <pivotArea field="9" type="button" dataOnly="0" labelOnly="1" outline="0" axis="axisRow" fieldPosition="0"/>
    </format>
    <format dxfId="387">
      <pivotArea dataOnly="0" labelOnly="1" fieldPosition="0">
        <references count="1">
          <reference field="9" count="0"/>
        </references>
      </pivotArea>
    </format>
    <format dxfId="388">
      <pivotArea dataOnly="0" labelOnly="1" grandRow="1" outline="0" fieldPosition="0"/>
    </format>
    <format dxfId="389">
      <pivotArea dataOnly="0" labelOnly="1" fieldPosition="0">
        <references count="1">
          <reference field="7" count="0"/>
        </references>
      </pivotArea>
    </format>
  </formats>
  <chartFormats count="6">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pivotArea type="data" outline="0" fieldPosition="0">
        <references count="3">
          <reference field="4294967294" count="1" selected="0">
            <x v="0"/>
          </reference>
          <reference field="7" count="1" selected="0">
            <x v="0"/>
          </reference>
          <reference field="9" count="1" selected="0">
            <x v="2"/>
          </reference>
        </references>
      </pivotArea>
    </chartFormat>
    <chartFormat chart="0" format="4">
      <pivotArea type="data" outline="0" fieldPosition="0">
        <references count="3">
          <reference field="4294967294" count="1" selected="0">
            <x v="0"/>
          </reference>
          <reference field="7" count="1" selected="0">
            <x v="0"/>
          </reference>
          <reference field="9" count="1" selected="0">
            <x v="1"/>
          </reference>
        </references>
      </pivotArea>
    </chartFormat>
    <chartFormat chart="0" format="5">
      <pivotArea type="data" outline="0" fieldPosition="0">
        <references count="3">
          <reference field="4294967294" count="1" selected="0">
            <x v="0"/>
          </reference>
          <reference field="7"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B3C36B-AEF2-499F-B725-CD720D53F17F}"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Segment">
  <location ref="H5:I9" firstHeaderRow="1" firstDataRow="1" firstDataCol="1"/>
  <pivotFields count="16">
    <pivotField showAll="0"/>
    <pivotField numFmtId="164" showAll="0"/>
    <pivotField showAll="0"/>
    <pivotField showAll="0"/>
    <pivotField showAll="0"/>
    <pivotField showAll="0"/>
    <pivotField showAll="0"/>
    <pivotField showAll="0" sortType="descending">
      <items count="4">
        <item x="1"/>
        <item x="0"/>
        <item x="2"/>
        <item t="default"/>
      </items>
      <autoSortScope>
        <pivotArea dataOnly="0" outline="0" fieldPosition="0">
          <references count="1">
            <reference field="4294967294" count="1" selected="0">
              <x v="0"/>
            </reference>
          </references>
        </pivotArea>
      </autoSortScope>
    </pivotField>
    <pivotField axis="axisRow" showAll="0">
      <items count="4">
        <item x="1"/>
        <item x="0"/>
        <item x="2"/>
        <item t="default"/>
      </items>
    </pivotField>
    <pivotField showAll="0" sortType="descending">
      <items count="6">
        <item x="2"/>
        <item x="1"/>
        <item x="0"/>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s>
  <rowFields count="1">
    <field x="8"/>
  </rowFields>
  <rowItems count="4">
    <i>
      <x/>
    </i>
    <i>
      <x v="1"/>
    </i>
    <i>
      <x v="2"/>
    </i>
    <i t="grand">
      <x/>
    </i>
  </rowItems>
  <colItems count="1">
    <i/>
  </colItems>
  <dataFields count="1">
    <dataField name="Total Sales" fld="14" baseField="9" baseItem="0" numFmtId="167"/>
  </dataFields>
  <formats count="14">
    <format dxfId="442">
      <pivotArea grandRow="1" outline="0" collapsedLevelsAreSubtotals="1" fieldPosition="0"/>
    </format>
    <format dxfId="443">
      <pivotArea type="all" dataOnly="0" outline="0" fieldPosition="0"/>
    </format>
    <format dxfId="444">
      <pivotArea field="9" type="button" dataOnly="0" labelOnly="1" outline="0"/>
    </format>
    <format dxfId="445">
      <pivotArea dataOnly="0" labelOnly="1" grandRow="1" outline="0" fieldPosition="0"/>
    </format>
    <format dxfId="446">
      <pivotArea dataOnly="0" labelOnly="1" outline="0" axis="axisValues" fieldPosition="0"/>
    </format>
    <format dxfId="447">
      <pivotArea outline="0" collapsedLevelsAreSubtotals="1" fieldPosition="0"/>
    </format>
    <format dxfId="448">
      <pivotArea outline="0" collapsedLevelsAreSubtotals="1" fieldPosition="0"/>
    </format>
    <format dxfId="441">
      <pivotArea outline="0" collapsedLevelsAreSubtotals="1" fieldPosition="0"/>
    </format>
    <format dxfId="420">
      <pivotArea type="all" dataOnly="0" outline="0" fieldPosition="0"/>
    </format>
    <format dxfId="419">
      <pivotArea outline="0" collapsedLevelsAreSubtotals="1" fieldPosition="0"/>
    </format>
    <format dxfId="418">
      <pivotArea field="8" type="button" dataOnly="0" labelOnly="1" outline="0" axis="axisRow" fieldPosition="0"/>
    </format>
    <format dxfId="417">
      <pivotArea dataOnly="0" labelOnly="1" fieldPosition="0">
        <references count="1">
          <reference field="8" count="0"/>
        </references>
      </pivotArea>
    </format>
    <format dxfId="416">
      <pivotArea dataOnly="0" labelOnly="1" grandRow="1" outline="0" fieldPosition="0"/>
    </format>
    <format dxfId="415">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BE4E0B-FF5A-4CB4-BE8A-EAE8FD9E4363}"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Region">
  <location ref="E5:F9" firstHeaderRow="1" firstDataRow="1" firstDataCol="1"/>
  <pivotFields count="16">
    <pivotField showAll="0"/>
    <pivotField numFmtId="164" showAll="0"/>
    <pivotField showAll="0"/>
    <pivotField showAll="0"/>
    <pivotField showAll="0"/>
    <pivotField showAll="0"/>
    <pivotField showAll="0"/>
    <pivotField axis="axisRow" showAll="0" sortType="ascending">
      <items count="4">
        <item x="1"/>
        <item x="0"/>
        <item x="2"/>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sortType="descending">
      <items count="6">
        <item x="2"/>
        <item x="1"/>
        <item x="0"/>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s>
  <rowFields count="1">
    <field x="7"/>
  </rowFields>
  <rowItems count="4">
    <i>
      <x v="2"/>
    </i>
    <i>
      <x/>
    </i>
    <i>
      <x v="1"/>
    </i>
    <i t="grand">
      <x/>
    </i>
  </rowItems>
  <colItems count="1">
    <i/>
  </colItems>
  <dataFields count="1">
    <dataField name="Total Sales" fld="14" baseField="9" baseItem="0"/>
  </dataFields>
  <formats count="16">
    <format dxfId="452">
      <pivotArea grandRow="1" outline="0" collapsedLevelsAreSubtotals="1" fieldPosition="0"/>
    </format>
    <format dxfId="453">
      <pivotArea type="all" dataOnly="0" outline="0" fieldPosition="0"/>
    </format>
    <format dxfId="454">
      <pivotArea field="9" type="button" dataOnly="0" labelOnly="1" outline="0"/>
    </format>
    <format dxfId="455">
      <pivotArea dataOnly="0" labelOnly="1" grandRow="1" outline="0" fieldPosition="0"/>
    </format>
    <format dxfId="456">
      <pivotArea dataOnly="0" labelOnly="1" outline="0" axis="axisValues" fieldPosition="0"/>
    </format>
    <format dxfId="457">
      <pivotArea outline="0" collapsedLevelsAreSubtotals="1" fieldPosition="0"/>
    </format>
    <format dxfId="458">
      <pivotArea outline="0" collapsedLevelsAreSubtotals="1" fieldPosition="0"/>
    </format>
    <format dxfId="451">
      <pivotArea collapsedLevelsAreSubtotals="1" fieldPosition="0">
        <references count="1">
          <reference field="7" count="0"/>
        </references>
      </pivotArea>
    </format>
    <format dxfId="450">
      <pivotArea collapsedLevelsAreSubtotals="1" fieldPosition="0">
        <references count="1">
          <reference field="7" count="1">
            <x v="1"/>
          </reference>
        </references>
      </pivotArea>
    </format>
    <format dxfId="449">
      <pivotArea dataOnly="0" labelOnly="1" fieldPosition="0">
        <references count="1">
          <reference field="7" count="1">
            <x v="1"/>
          </reference>
        </references>
      </pivotArea>
    </format>
    <format dxfId="414">
      <pivotArea type="all" dataOnly="0" outline="0" fieldPosition="0"/>
    </format>
    <format dxfId="413">
      <pivotArea outline="0" collapsedLevelsAreSubtotals="1" fieldPosition="0"/>
    </format>
    <format dxfId="412">
      <pivotArea field="7" type="button" dataOnly="0" labelOnly="1" outline="0" axis="axisRow" fieldPosition="0"/>
    </format>
    <format dxfId="411">
      <pivotArea dataOnly="0" labelOnly="1" fieldPosition="0">
        <references count="1">
          <reference field="7" count="0"/>
        </references>
      </pivotArea>
    </format>
    <format dxfId="410">
      <pivotArea dataOnly="0" labelOnly="1" grandRow="1" outline="0" fieldPosition="0"/>
    </format>
    <format dxfId="409">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6D35FB-F59C-4199-A6EA-C9D47F6E9406}"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ategory">
  <location ref="B5:C11" firstHeaderRow="1" firstDataRow="1" firstDataCol="1"/>
  <pivotFields count="16">
    <pivotField showAll="0"/>
    <pivotField numFmtId="164" showAll="0"/>
    <pivotField showAll="0"/>
    <pivotField showAll="0"/>
    <pivotField showAll="0"/>
    <pivotField showAll="0"/>
    <pivotField showAll="0"/>
    <pivotField showAll="0">
      <items count="4">
        <item x="1"/>
        <item x="0"/>
        <item x="2"/>
        <item t="default"/>
      </items>
    </pivotField>
    <pivotField showAll="0"/>
    <pivotField axis="axisRow" showAll="0" sortType="descending">
      <items count="6">
        <item x="2"/>
        <item x="1"/>
        <item x="0"/>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s>
  <rowFields count="1">
    <field x="9"/>
  </rowFields>
  <rowItems count="6">
    <i>
      <x/>
    </i>
    <i>
      <x v="4"/>
    </i>
    <i>
      <x v="1"/>
    </i>
    <i>
      <x v="3"/>
    </i>
    <i>
      <x v="2"/>
    </i>
    <i t="grand">
      <x/>
    </i>
  </rowItems>
  <colItems count="1">
    <i/>
  </colItems>
  <dataFields count="1">
    <dataField name="Total Sales" fld="14" baseField="9" baseItem="0"/>
  </dataFields>
  <formats count="19">
    <format dxfId="390">
      <pivotArea collapsedLevelsAreSubtotals="1" fieldPosition="0">
        <references count="1">
          <reference field="9" count="1">
            <x v="0"/>
          </reference>
        </references>
      </pivotArea>
    </format>
    <format dxfId="391">
      <pivotArea grandRow="1" outline="0" collapsedLevelsAreSubtotals="1" fieldPosition="0"/>
    </format>
    <format dxfId="392">
      <pivotArea collapsedLevelsAreSubtotals="1" fieldPosition="0">
        <references count="1">
          <reference field="9" count="1">
            <x v="1"/>
          </reference>
        </references>
      </pivotArea>
    </format>
    <format dxfId="393">
      <pivotArea collapsedLevelsAreSubtotals="1" fieldPosition="0">
        <references count="1">
          <reference field="9" count="1">
            <x v="2"/>
          </reference>
        </references>
      </pivotArea>
    </format>
    <format dxfId="394">
      <pivotArea collapsedLevelsAreSubtotals="1" fieldPosition="0">
        <references count="1">
          <reference field="9" count="1">
            <x v="3"/>
          </reference>
        </references>
      </pivotArea>
    </format>
    <format dxfId="395">
      <pivotArea collapsedLevelsAreSubtotals="1" fieldPosition="0">
        <references count="1">
          <reference field="9" count="1">
            <x v="4"/>
          </reference>
        </references>
      </pivotArea>
    </format>
    <format dxfId="396">
      <pivotArea type="all" dataOnly="0" outline="0" fieldPosition="0"/>
    </format>
    <format dxfId="397">
      <pivotArea field="9" type="button" dataOnly="0" labelOnly="1" outline="0" axis="axisRow" fieldPosition="0"/>
    </format>
    <format dxfId="398">
      <pivotArea dataOnly="0" labelOnly="1" fieldPosition="0">
        <references count="1">
          <reference field="9" count="0"/>
        </references>
      </pivotArea>
    </format>
    <format dxfId="399">
      <pivotArea dataOnly="0" labelOnly="1" grandRow="1" outline="0" fieldPosition="0"/>
    </format>
    <format dxfId="400">
      <pivotArea dataOnly="0" labelOnly="1" outline="0" axis="axisValues" fieldPosition="0"/>
    </format>
    <format dxfId="401">
      <pivotArea outline="0" collapsedLevelsAreSubtotals="1" fieldPosition="0"/>
    </format>
    <format dxfId="402">
      <pivotArea outline="0" collapsedLevelsAreSubtotals="1" fieldPosition="0"/>
    </format>
    <format dxfId="403">
      <pivotArea type="all" dataOnly="0" outline="0" fieldPosition="0"/>
    </format>
    <format dxfId="404">
      <pivotArea outline="0" collapsedLevelsAreSubtotals="1" fieldPosition="0"/>
    </format>
    <format dxfId="405">
      <pivotArea field="9" type="button" dataOnly="0" labelOnly="1" outline="0" axis="axisRow" fieldPosition="0"/>
    </format>
    <format dxfId="406">
      <pivotArea dataOnly="0" labelOnly="1" fieldPosition="0">
        <references count="1">
          <reference field="9" count="0"/>
        </references>
      </pivotArea>
    </format>
    <format dxfId="407">
      <pivotArea dataOnly="0" labelOnly="1" grandRow="1" outline="0" fieldPosition="0"/>
    </format>
    <format dxfId="408">
      <pivotArea dataOnly="0" labelOnly="1" outline="0" axis="axisValues"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769583E-2FD0-4E2A-8D37-ADB3D6BFBC5D}" sourceName="Region">
  <pivotTables>
    <pivotTable tabId="3" name="PivotTable1"/>
    <pivotTable tabId="3" name="PivotTable3"/>
    <pivotTable tabId="3" name="PivotTable5"/>
  </pivotTables>
  <data>
    <tabular pivotCacheId="929494608">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3AD268A0-20D7-4528-8528-0675D644281C}" sourceName="Product_Category">
  <pivotTables>
    <pivotTable tabId="3" name="PivotTable1"/>
  </pivotTables>
  <data>
    <tabular pivotCacheId="929494608">
      <items count="5">
        <i x="4" s="1"/>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F219C15-0851-460E-B95E-C28DBD6C25FA}" sourceName="Segment">
  <pivotTables>
    <pivotTable tabId="3" name="PivotTable5"/>
  </pivotTables>
  <data>
    <tabular pivotCacheId="929494608">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E3084B1-6721-46CF-AAE0-1B9D4B1F9704}" cache="Slicer_Region" caption="Region" rowHeight="234950"/>
  <slicer name="Product_Category" xr10:uid="{A98C8C03-B8CB-4D55-AB78-EB16636157E7}" cache="Slicer_Product_Category" caption="Product_Category" rowHeight="234950"/>
  <slicer name="Segment" xr10:uid="{EB3D9B10-CE86-49C9-BAC4-AE8CC2DCCEA0}" cache="Slicer_Segment" caption="Seg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885FD44-BEF0-447A-A0E1-4D087AC8DA87}" name="Table3" displayName="Table3" ref="B2:R1002" totalsRowShown="0" headerRowDxfId="421" dataDxfId="422" tableBorderDxfId="440">
  <autoFilter ref="B2:R1002" xr:uid="{E885FD44-BEF0-447A-A0E1-4D087AC8DA87}"/>
  <tableColumns count="17">
    <tableColumn id="1" xr3:uid="{97918A1F-0680-4F60-85DF-2ECFEAA48F32}" name="Order_ID" dataDxfId="439"/>
    <tableColumn id="2" xr3:uid="{70606901-068A-4E31-B3D4-7600045E48A1}" name="Order_Date" dataDxfId="438"/>
    <tableColumn id="3" xr3:uid="{49BBCE4C-D532-4F5A-B5D1-92776F97B063}" name="Customer_ID" dataDxfId="437"/>
    <tableColumn id="4" xr3:uid="{5A3A51A0-5E65-4A38-9E1F-54A972CF7D66}" name="Customer_Name" dataDxfId="436"/>
    <tableColumn id="5" xr3:uid="{51633A32-C51C-4135-B02B-3A75AC2B49D3}" name="Gender" dataDxfId="435"/>
    <tableColumn id="6" xr3:uid="{9238D74F-0FBB-4794-AA95-7D7A3A5CD0D5}" name="Age" dataDxfId="434"/>
    <tableColumn id="7" xr3:uid="{F80C50A7-02EC-4E3B-BBB1-F608EB871619}" name="City" dataDxfId="433"/>
    <tableColumn id="8" xr3:uid="{D73EC5DA-7EE6-4980-91B8-BD8A8BF57DC9}" name="Region" dataDxfId="432"/>
    <tableColumn id="9" xr3:uid="{1794A268-FCB9-4BCE-BE5C-E1D379F5C664}" name="Segment" dataDxfId="431"/>
    <tableColumn id="10" xr3:uid="{9058215E-C380-4844-9828-36E29B6066CC}" name="Product_Category" dataDxfId="430"/>
    <tableColumn id="11" xr3:uid="{6768E8F2-C4B1-4CD4-B47A-11D77018FD42}" name="Payment_Method" dataDxfId="429"/>
    <tableColumn id="12" xr3:uid="{AB693622-686C-46B1-B6CA-A4776FB99002}" name="Order_Status" dataDxfId="428"/>
    <tableColumn id="13" xr3:uid="{BEBCD555-FD18-4037-964F-C9065EF8351E}" name="Quantity" dataDxfId="427"/>
    <tableColumn id="14" xr3:uid="{8E4E7324-BDC9-491D-B185-8B49189FBB18}" name="Unit_Price" dataDxfId="426"/>
    <tableColumn id="15" xr3:uid="{826C6B80-043F-480D-A1CB-38C0BB853540}" name="Sales" dataDxfId="425"/>
    <tableColumn id="16" xr3:uid="{EC974EF5-F7BF-4A08-98BD-64EA19D5BCB6}" name="Profit" dataDxfId="424"/>
    <tableColumn id="17" xr3:uid="{AAE4D2CE-1C80-49E4-897E-642FD57AA054}" name="Profit Margin" dataDxfId="423">
      <calculatedColumnFormula>Q3/P3</calculatedColumnFormula>
    </tableColumn>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R1002"/>
  <sheetViews>
    <sheetView workbookViewId="0">
      <selection activeCell="F15" sqref="F15"/>
    </sheetView>
  </sheetViews>
  <sheetFormatPr defaultRowHeight="14.4" x14ac:dyDescent="0.3"/>
  <cols>
    <col min="1" max="1" width="3.88671875" customWidth="1"/>
    <col min="2" max="2" width="12.6640625" customWidth="1"/>
    <col min="3" max="3" width="16.6640625" customWidth="1"/>
    <col min="4" max="4" width="16.33203125" customWidth="1"/>
    <col min="5" max="5" width="20.33203125" customWidth="1"/>
    <col min="6" max="6" width="13" customWidth="1"/>
    <col min="7" max="7" width="9.109375" customWidth="1"/>
    <col min="8" max="8" width="14.21875" customWidth="1"/>
    <col min="9" max="9" width="10.44140625" customWidth="1"/>
    <col min="10" max="10" width="13.21875" customWidth="1"/>
    <col min="11" max="11" width="18.109375" customWidth="1"/>
    <col min="12" max="12" width="20" customWidth="1"/>
    <col min="13" max="13" width="15.44140625" customWidth="1"/>
    <col min="14" max="14" width="10.77734375" customWidth="1"/>
    <col min="15" max="15" width="12.5546875" customWidth="1"/>
    <col min="17" max="17" width="11.44140625" customWidth="1"/>
    <col min="18" max="18" width="14" style="1" customWidth="1"/>
  </cols>
  <sheetData>
    <row r="2" spans="2:18" ht="15" thickBot="1" x14ac:dyDescent="0.35">
      <c r="B2" s="18" t="s">
        <v>0</v>
      </c>
      <c r="C2" s="2" t="s">
        <v>1</v>
      </c>
      <c r="D2" s="2" t="s">
        <v>2</v>
      </c>
      <c r="E2" s="2" t="s">
        <v>3</v>
      </c>
      <c r="F2" s="2" t="s">
        <v>4</v>
      </c>
      <c r="G2" s="2" t="s">
        <v>5</v>
      </c>
      <c r="H2" s="2" t="s">
        <v>6</v>
      </c>
      <c r="I2" s="2" t="s">
        <v>7</v>
      </c>
      <c r="J2" s="2" t="s">
        <v>8</v>
      </c>
      <c r="K2" s="2" t="s">
        <v>9</v>
      </c>
      <c r="L2" s="2" t="s">
        <v>14</v>
      </c>
      <c r="M2" s="2" t="s">
        <v>15</v>
      </c>
      <c r="N2" s="2" t="s">
        <v>10</v>
      </c>
      <c r="O2" s="2" t="s">
        <v>11</v>
      </c>
      <c r="P2" s="2" t="s">
        <v>12</v>
      </c>
      <c r="Q2" s="3" t="s">
        <v>13</v>
      </c>
      <c r="R2" s="16" t="s">
        <v>2057</v>
      </c>
    </row>
    <row r="3" spans="2:18" x14ac:dyDescent="0.3">
      <c r="B3" s="19" t="s">
        <v>16</v>
      </c>
      <c r="C3" s="5">
        <v>45541</v>
      </c>
      <c r="D3" s="4" t="s">
        <v>17</v>
      </c>
      <c r="E3" s="4" t="s">
        <v>18</v>
      </c>
      <c r="F3" s="4" t="s">
        <v>19</v>
      </c>
      <c r="G3" s="4">
        <v>25</v>
      </c>
      <c r="H3" s="4" t="s">
        <v>20</v>
      </c>
      <c r="I3" s="4" t="s">
        <v>21</v>
      </c>
      <c r="J3" s="4" t="s">
        <v>22</v>
      </c>
      <c r="K3" s="4" t="s">
        <v>23</v>
      </c>
      <c r="L3" s="4" t="s">
        <v>24</v>
      </c>
      <c r="M3" s="4" t="s">
        <v>25</v>
      </c>
      <c r="N3" s="4">
        <v>4</v>
      </c>
      <c r="O3" s="4">
        <v>38420</v>
      </c>
      <c r="P3" s="4">
        <v>122944</v>
      </c>
      <c r="Q3" s="6">
        <v>28962.26</v>
      </c>
      <c r="R3" s="17">
        <f>Q3/P3</f>
        <v>0.23557278110359187</v>
      </c>
    </row>
    <row r="4" spans="2:18" x14ac:dyDescent="0.3">
      <c r="B4" s="20" t="s">
        <v>26</v>
      </c>
      <c r="C4" s="8">
        <v>45475</v>
      </c>
      <c r="D4" s="7" t="s">
        <v>27</v>
      </c>
      <c r="E4" s="7" t="s">
        <v>28</v>
      </c>
      <c r="F4" s="7" t="s">
        <v>19</v>
      </c>
      <c r="G4" s="7">
        <v>27</v>
      </c>
      <c r="H4" s="7" t="s">
        <v>29</v>
      </c>
      <c r="I4" s="7" t="s">
        <v>21</v>
      </c>
      <c r="J4" s="7" t="s">
        <v>30</v>
      </c>
      <c r="K4" s="7" t="s">
        <v>31</v>
      </c>
      <c r="L4" s="7" t="s">
        <v>32</v>
      </c>
      <c r="M4" s="7" t="s">
        <v>33</v>
      </c>
      <c r="N4" s="7">
        <v>2</v>
      </c>
      <c r="O4" s="7">
        <v>12452</v>
      </c>
      <c r="P4" s="7">
        <v>23658.799999999999</v>
      </c>
      <c r="Q4" s="9">
        <v>7436.33</v>
      </c>
      <c r="R4" s="17">
        <f t="shared" ref="R4:R67" si="0">Q4/P4</f>
        <v>0.31431560349637344</v>
      </c>
    </row>
    <row r="5" spans="2:18" x14ac:dyDescent="0.3">
      <c r="B5" s="21" t="s">
        <v>34</v>
      </c>
      <c r="C5" s="11">
        <v>45639</v>
      </c>
      <c r="D5" s="10" t="s">
        <v>35</v>
      </c>
      <c r="E5" s="10" t="s">
        <v>36</v>
      </c>
      <c r="F5" s="10" t="s">
        <v>37</v>
      </c>
      <c r="G5" s="10">
        <v>46</v>
      </c>
      <c r="H5" s="10" t="s">
        <v>38</v>
      </c>
      <c r="I5" s="10" t="s">
        <v>39</v>
      </c>
      <c r="J5" s="10" t="s">
        <v>30</v>
      </c>
      <c r="K5" s="10" t="s">
        <v>40</v>
      </c>
      <c r="L5" s="10" t="s">
        <v>24</v>
      </c>
      <c r="M5" s="10" t="s">
        <v>41</v>
      </c>
      <c r="N5" s="10">
        <v>5</v>
      </c>
      <c r="O5" s="10">
        <v>2296</v>
      </c>
      <c r="P5" s="10">
        <v>10906</v>
      </c>
      <c r="Q5" s="12">
        <v>3061.99</v>
      </c>
      <c r="R5" s="17">
        <f t="shared" si="0"/>
        <v>0.28076196589033559</v>
      </c>
    </row>
    <row r="6" spans="2:18" x14ac:dyDescent="0.3">
      <c r="B6" s="20" t="s">
        <v>42</v>
      </c>
      <c r="C6" s="8">
        <v>45595</v>
      </c>
      <c r="D6" s="7" t="s">
        <v>43</v>
      </c>
      <c r="E6" s="7" t="s">
        <v>44</v>
      </c>
      <c r="F6" s="7" t="s">
        <v>19</v>
      </c>
      <c r="G6" s="7">
        <v>48</v>
      </c>
      <c r="H6" s="7" t="s">
        <v>45</v>
      </c>
      <c r="I6" s="7" t="s">
        <v>46</v>
      </c>
      <c r="J6" s="7" t="s">
        <v>22</v>
      </c>
      <c r="K6" s="7" t="s">
        <v>23</v>
      </c>
      <c r="L6" s="7" t="s">
        <v>47</v>
      </c>
      <c r="M6" s="7" t="s">
        <v>41</v>
      </c>
      <c r="N6" s="7">
        <v>2</v>
      </c>
      <c r="O6" s="7">
        <v>24157</v>
      </c>
      <c r="P6" s="7">
        <v>41066.9</v>
      </c>
      <c r="Q6" s="9">
        <v>9478.23</v>
      </c>
      <c r="R6" s="17">
        <f t="shared" si="0"/>
        <v>0.2307997438326243</v>
      </c>
    </row>
    <row r="7" spans="2:18" x14ac:dyDescent="0.3">
      <c r="B7" s="21" t="s">
        <v>48</v>
      </c>
      <c r="C7" s="11">
        <v>45571</v>
      </c>
      <c r="D7" s="10" t="s">
        <v>49</v>
      </c>
      <c r="E7" s="10" t="s">
        <v>18</v>
      </c>
      <c r="F7" s="10" t="s">
        <v>19</v>
      </c>
      <c r="G7" s="10">
        <v>23</v>
      </c>
      <c r="H7" s="10" t="s">
        <v>29</v>
      </c>
      <c r="I7" s="10" t="s">
        <v>21</v>
      </c>
      <c r="J7" s="10" t="s">
        <v>50</v>
      </c>
      <c r="K7" s="10" t="s">
        <v>51</v>
      </c>
      <c r="L7" s="10" t="s">
        <v>32</v>
      </c>
      <c r="M7" s="10" t="s">
        <v>52</v>
      </c>
      <c r="N7" s="10">
        <v>4</v>
      </c>
      <c r="O7" s="10">
        <v>16099</v>
      </c>
      <c r="P7" s="10">
        <v>61176.2</v>
      </c>
      <c r="Q7" s="12">
        <v>15457.86</v>
      </c>
      <c r="R7" s="17">
        <f t="shared" si="0"/>
        <v>0.25267767530510232</v>
      </c>
    </row>
    <row r="8" spans="2:18" x14ac:dyDescent="0.3">
      <c r="B8" s="20" t="s">
        <v>53</v>
      </c>
      <c r="C8" s="8">
        <v>45624</v>
      </c>
      <c r="D8" s="7" t="s">
        <v>54</v>
      </c>
      <c r="E8" s="7" t="s">
        <v>55</v>
      </c>
      <c r="F8" s="7" t="s">
        <v>37</v>
      </c>
      <c r="G8" s="7">
        <v>33</v>
      </c>
      <c r="H8" s="7" t="s">
        <v>56</v>
      </c>
      <c r="I8" s="7" t="s">
        <v>21</v>
      </c>
      <c r="J8" s="7" t="s">
        <v>22</v>
      </c>
      <c r="K8" s="7" t="s">
        <v>40</v>
      </c>
      <c r="L8" s="7" t="s">
        <v>32</v>
      </c>
      <c r="M8" s="7" t="s">
        <v>52</v>
      </c>
      <c r="N8" s="7">
        <v>5</v>
      </c>
      <c r="O8" s="7">
        <v>19875</v>
      </c>
      <c r="P8" s="7">
        <v>79500</v>
      </c>
      <c r="Q8" s="9">
        <v>30192.17</v>
      </c>
      <c r="R8" s="17">
        <f t="shared" si="0"/>
        <v>0.37977572327044024</v>
      </c>
    </row>
    <row r="9" spans="2:18" x14ac:dyDescent="0.3">
      <c r="B9" s="21" t="s">
        <v>57</v>
      </c>
      <c r="C9" s="11">
        <v>45623</v>
      </c>
      <c r="D9" s="10" t="s">
        <v>58</v>
      </c>
      <c r="E9" s="10" t="s">
        <v>59</v>
      </c>
      <c r="F9" s="10" t="s">
        <v>37</v>
      </c>
      <c r="G9" s="10">
        <v>27</v>
      </c>
      <c r="H9" s="10" t="s">
        <v>20</v>
      </c>
      <c r="I9" s="10" t="s">
        <v>21</v>
      </c>
      <c r="J9" s="10" t="s">
        <v>50</v>
      </c>
      <c r="K9" s="10" t="s">
        <v>23</v>
      </c>
      <c r="L9" s="10" t="s">
        <v>60</v>
      </c>
      <c r="M9" s="10" t="s">
        <v>52</v>
      </c>
      <c r="N9" s="10">
        <v>1</v>
      </c>
      <c r="O9" s="10">
        <v>48768</v>
      </c>
      <c r="P9" s="10">
        <v>48768</v>
      </c>
      <c r="Q9" s="12">
        <v>16319.33</v>
      </c>
      <c r="R9" s="17">
        <f t="shared" si="0"/>
        <v>0.33463193077427822</v>
      </c>
    </row>
    <row r="10" spans="2:18" x14ac:dyDescent="0.3">
      <c r="B10" s="20" t="s">
        <v>61</v>
      </c>
      <c r="C10" s="8">
        <v>45296</v>
      </c>
      <c r="D10" s="7" t="s">
        <v>62</v>
      </c>
      <c r="E10" s="7" t="s">
        <v>28</v>
      </c>
      <c r="F10" s="7" t="s">
        <v>37</v>
      </c>
      <c r="G10" s="7">
        <v>56</v>
      </c>
      <c r="H10" s="7" t="s">
        <v>38</v>
      </c>
      <c r="I10" s="7" t="s">
        <v>21</v>
      </c>
      <c r="J10" s="7" t="s">
        <v>30</v>
      </c>
      <c r="K10" s="7" t="s">
        <v>31</v>
      </c>
      <c r="L10" s="7" t="s">
        <v>32</v>
      </c>
      <c r="M10" s="7" t="s">
        <v>33</v>
      </c>
      <c r="N10" s="7">
        <v>2</v>
      </c>
      <c r="O10" s="7">
        <v>22262</v>
      </c>
      <c r="P10" s="7">
        <v>37845.4</v>
      </c>
      <c r="Q10" s="9">
        <v>12475.7</v>
      </c>
      <c r="R10" s="17">
        <f t="shared" si="0"/>
        <v>0.3296490458549784</v>
      </c>
    </row>
    <row r="11" spans="2:18" x14ac:dyDescent="0.3">
      <c r="B11" s="21" t="s">
        <v>63</v>
      </c>
      <c r="C11" s="11">
        <v>45550</v>
      </c>
      <c r="D11" s="10" t="s">
        <v>64</v>
      </c>
      <c r="E11" s="10" t="s">
        <v>65</v>
      </c>
      <c r="F11" s="10" t="s">
        <v>37</v>
      </c>
      <c r="G11" s="10">
        <v>21</v>
      </c>
      <c r="H11" s="10" t="s">
        <v>66</v>
      </c>
      <c r="I11" s="10" t="s">
        <v>21</v>
      </c>
      <c r="J11" s="10" t="s">
        <v>22</v>
      </c>
      <c r="K11" s="10" t="s">
        <v>51</v>
      </c>
      <c r="L11" s="10" t="s">
        <v>24</v>
      </c>
      <c r="M11" s="10" t="s">
        <v>52</v>
      </c>
      <c r="N11" s="10">
        <v>3</v>
      </c>
      <c r="O11" s="10">
        <v>4064</v>
      </c>
      <c r="P11" s="10">
        <v>10972.8</v>
      </c>
      <c r="Q11" s="12">
        <v>2448.2800000000002</v>
      </c>
      <c r="R11" s="17">
        <f t="shared" si="0"/>
        <v>0.2231226305045203</v>
      </c>
    </row>
    <row r="12" spans="2:18" x14ac:dyDescent="0.3">
      <c r="B12" s="20" t="s">
        <v>67</v>
      </c>
      <c r="C12" s="8">
        <v>45608</v>
      </c>
      <c r="D12" s="7" t="s">
        <v>68</v>
      </c>
      <c r="E12" s="7" t="s">
        <v>28</v>
      </c>
      <c r="F12" s="7" t="s">
        <v>19</v>
      </c>
      <c r="G12" s="7">
        <v>47</v>
      </c>
      <c r="H12" s="7" t="s">
        <v>20</v>
      </c>
      <c r="I12" s="7" t="s">
        <v>39</v>
      </c>
      <c r="J12" s="7" t="s">
        <v>30</v>
      </c>
      <c r="K12" s="7" t="s">
        <v>69</v>
      </c>
      <c r="L12" s="7" t="s">
        <v>32</v>
      </c>
      <c r="M12" s="7" t="s">
        <v>25</v>
      </c>
      <c r="N12" s="7">
        <v>1</v>
      </c>
      <c r="O12" s="7">
        <v>1621</v>
      </c>
      <c r="P12" s="7">
        <v>1296.8</v>
      </c>
      <c r="Q12" s="9">
        <v>475.07</v>
      </c>
      <c r="R12" s="17">
        <f t="shared" si="0"/>
        <v>0.36634022208513262</v>
      </c>
    </row>
    <row r="13" spans="2:18" x14ac:dyDescent="0.3">
      <c r="B13" s="21" t="s">
        <v>70</v>
      </c>
      <c r="C13" s="11">
        <v>45493</v>
      </c>
      <c r="D13" s="10" t="s">
        <v>71</v>
      </c>
      <c r="E13" s="10" t="s">
        <v>44</v>
      </c>
      <c r="F13" s="10" t="s">
        <v>19</v>
      </c>
      <c r="G13" s="10">
        <v>53</v>
      </c>
      <c r="H13" s="10" t="s">
        <v>45</v>
      </c>
      <c r="I13" s="10" t="s">
        <v>39</v>
      </c>
      <c r="J13" s="10" t="s">
        <v>22</v>
      </c>
      <c r="K13" s="10" t="s">
        <v>31</v>
      </c>
      <c r="L13" s="10" t="s">
        <v>60</v>
      </c>
      <c r="M13" s="10" t="s">
        <v>52</v>
      </c>
      <c r="N13" s="10">
        <v>4</v>
      </c>
      <c r="O13" s="10">
        <v>34083</v>
      </c>
      <c r="P13" s="10">
        <v>122698.8</v>
      </c>
      <c r="Q13" s="12">
        <v>37307.06</v>
      </c>
      <c r="R13" s="17">
        <f t="shared" si="0"/>
        <v>0.30405399237808356</v>
      </c>
    </row>
    <row r="14" spans="2:18" x14ac:dyDescent="0.3">
      <c r="B14" s="20" t="s">
        <v>72</v>
      </c>
      <c r="C14" s="8">
        <v>45523</v>
      </c>
      <c r="D14" s="7" t="s">
        <v>73</v>
      </c>
      <c r="E14" s="7" t="s">
        <v>55</v>
      </c>
      <c r="F14" s="7" t="s">
        <v>19</v>
      </c>
      <c r="G14" s="7">
        <v>29</v>
      </c>
      <c r="H14" s="7" t="s">
        <v>45</v>
      </c>
      <c r="I14" s="7" t="s">
        <v>21</v>
      </c>
      <c r="J14" s="7" t="s">
        <v>30</v>
      </c>
      <c r="K14" s="7" t="s">
        <v>40</v>
      </c>
      <c r="L14" s="7" t="s">
        <v>24</v>
      </c>
      <c r="M14" s="7" t="s">
        <v>25</v>
      </c>
      <c r="N14" s="7">
        <v>5</v>
      </c>
      <c r="O14" s="7">
        <v>6414</v>
      </c>
      <c r="P14" s="7">
        <v>25656</v>
      </c>
      <c r="Q14" s="9">
        <v>4873.3500000000004</v>
      </c>
      <c r="R14" s="17">
        <f t="shared" si="0"/>
        <v>0.18994971936389149</v>
      </c>
    </row>
    <row r="15" spans="2:18" x14ac:dyDescent="0.3">
      <c r="B15" s="21" t="s">
        <v>74</v>
      </c>
      <c r="C15" s="11">
        <v>45390</v>
      </c>
      <c r="D15" s="10" t="s">
        <v>75</v>
      </c>
      <c r="E15" s="10" t="s">
        <v>76</v>
      </c>
      <c r="F15" s="10" t="s">
        <v>37</v>
      </c>
      <c r="G15" s="10">
        <v>22</v>
      </c>
      <c r="H15" s="10" t="s">
        <v>56</v>
      </c>
      <c r="I15" s="10" t="s">
        <v>46</v>
      </c>
      <c r="J15" s="10" t="s">
        <v>30</v>
      </c>
      <c r="K15" s="10" t="s">
        <v>69</v>
      </c>
      <c r="L15" s="10" t="s">
        <v>24</v>
      </c>
      <c r="M15" s="10" t="s">
        <v>33</v>
      </c>
      <c r="N15" s="10">
        <v>5</v>
      </c>
      <c r="O15" s="10">
        <v>25599</v>
      </c>
      <c r="P15" s="10">
        <v>115195.5</v>
      </c>
      <c r="Q15" s="12">
        <v>34292.17</v>
      </c>
      <c r="R15" s="17">
        <f t="shared" si="0"/>
        <v>0.29768671519286777</v>
      </c>
    </row>
    <row r="16" spans="2:18" x14ac:dyDescent="0.3">
      <c r="B16" s="20" t="s">
        <v>77</v>
      </c>
      <c r="C16" s="8">
        <v>45485</v>
      </c>
      <c r="D16" s="7" t="s">
        <v>78</v>
      </c>
      <c r="E16" s="7" t="s">
        <v>79</v>
      </c>
      <c r="F16" s="7" t="s">
        <v>37</v>
      </c>
      <c r="G16" s="7">
        <v>47</v>
      </c>
      <c r="H16" s="7" t="s">
        <v>56</v>
      </c>
      <c r="I16" s="7" t="s">
        <v>21</v>
      </c>
      <c r="J16" s="7" t="s">
        <v>30</v>
      </c>
      <c r="K16" s="7" t="s">
        <v>40</v>
      </c>
      <c r="L16" s="7" t="s">
        <v>80</v>
      </c>
      <c r="M16" s="7" t="s">
        <v>33</v>
      </c>
      <c r="N16" s="7">
        <v>4</v>
      </c>
      <c r="O16" s="7">
        <v>20553</v>
      </c>
      <c r="P16" s="7">
        <v>69880.2</v>
      </c>
      <c r="Q16" s="9">
        <v>15766.99</v>
      </c>
      <c r="R16" s="17">
        <f t="shared" si="0"/>
        <v>0.22562886196662288</v>
      </c>
    </row>
    <row r="17" spans="2:18" x14ac:dyDescent="0.3">
      <c r="B17" s="21" t="s">
        <v>81</v>
      </c>
      <c r="C17" s="11">
        <v>45532</v>
      </c>
      <c r="D17" s="10" t="s">
        <v>82</v>
      </c>
      <c r="E17" s="10" t="s">
        <v>44</v>
      </c>
      <c r="F17" s="10" t="s">
        <v>19</v>
      </c>
      <c r="G17" s="10">
        <v>53</v>
      </c>
      <c r="H17" s="10" t="s">
        <v>66</v>
      </c>
      <c r="I17" s="10" t="s">
        <v>21</v>
      </c>
      <c r="J17" s="10" t="s">
        <v>22</v>
      </c>
      <c r="K17" s="10" t="s">
        <v>40</v>
      </c>
      <c r="L17" s="10" t="s">
        <v>32</v>
      </c>
      <c r="M17" s="10" t="s">
        <v>25</v>
      </c>
      <c r="N17" s="10">
        <v>1</v>
      </c>
      <c r="O17" s="10">
        <v>9133</v>
      </c>
      <c r="P17" s="10">
        <v>7306.4</v>
      </c>
      <c r="Q17" s="12">
        <v>1882.4</v>
      </c>
      <c r="R17" s="17">
        <f t="shared" si="0"/>
        <v>0.25763714004160737</v>
      </c>
    </row>
    <row r="18" spans="2:18" x14ac:dyDescent="0.3">
      <c r="B18" s="20" t="s">
        <v>83</v>
      </c>
      <c r="C18" s="8">
        <v>45301</v>
      </c>
      <c r="D18" s="7" t="s">
        <v>84</v>
      </c>
      <c r="E18" s="7" t="s">
        <v>44</v>
      </c>
      <c r="F18" s="7" t="s">
        <v>37</v>
      </c>
      <c r="G18" s="7">
        <v>26</v>
      </c>
      <c r="H18" s="7" t="s">
        <v>45</v>
      </c>
      <c r="I18" s="7" t="s">
        <v>21</v>
      </c>
      <c r="J18" s="7" t="s">
        <v>22</v>
      </c>
      <c r="K18" s="7" t="s">
        <v>51</v>
      </c>
      <c r="L18" s="7" t="s">
        <v>47</v>
      </c>
      <c r="M18" s="7" t="s">
        <v>52</v>
      </c>
      <c r="N18" s="7">
        <v>1</v>
      </c>
      <c r="O18" s="7">
        <v>3969</v>
      </c>
      <c r="P18" s="7">
        <v>3373.65</v>
      </c>
      <c r="Q18" s="9">
        <v>1037.75</v>
      </c>
      <c r="R18" s="17">
        <f t="shared" si="0"/>
        <v>0.30760452329079779</v>
      </c>
    </row>
    <row r="19" spans="2:18" x14ac:dyDescent="0.3">
      <c r="B19" s="21" t="s">
        <v>85</v>
      </c>
      <c r="C19" s="11">
        <v>45585</v>
      </c>
      <c r="D19" s="10" t="s">
        <v>86</v>
      </c>
      <c r="E19" s="10" t="s">
        <v>76</v>
      </c>
      <c r="F19" s="10" t="s">
        <v>19</v>
      </c>
      <c r="G19" s="10">
        <v>36</v>
      </c>
      <c r="H19" s="10" t="s">
        <v>20</v>
      </c>
      <c r="I19" s="10" t="s">
        <v>21</v>
      </c>
      <c r="J19" s="10" t="s">
        <v>30</v>
      </c>
      <c r="K19" s="10" t="s">
        <v>23</v>
      </c>
      <c r="L19" s="10" t="s">
        <v>60</v>
      </c>
      <c r="M19" s="10" t="s">
        <v>33</v>
      </c>
      <c r="N19" s="10">
        <v>4</v>
      </c>
      <c r="O19" s="10">
        <v>25369</v>
      </c>
      <c r="P19" s="10">
        <v>101476</v>
      </c>
      <c r="Q19" s="12">
        <v>26192.67</v>
      </c>
      <c r="R19" s="17">
        <f t="shared" si="0"/>
        <v>0.25811689463518467</v>
      </c>
    </row>
    <row r="20" spans="2:18" x14ac:dyDescent="0.3">
      <c r="B20" s="20" t="s">
        <v>87</v>
      </c>
      <c r="C20" s="8">
        <v>45544</v>
      </c>
      <c r="D20" s="7" t="s">
        <v>88</v>
      </c>
      <c r="E20" s="7" t="s">
        <v>79</v>
      </c>
      <c r="F20" s="7" t="s">
        <v>19</v>
      </c>
      <c r="G20" s="7">
        <v>47</v>
      </c>
      <c r="H20" s="7" t="s">
        <v>38</v>
      </c>
      <c r="I20" s="7" t="s">
        <v>21</v>
      </c>
      <c r="J20" s="7" t="s">
        <v>30</v>
      </c>
      <c r="K20" s="7" t="s">
        <v>23</v>
      </c>
      <c r="L20" s="7" t="s">
        <v>24</v>
      </c>
      <c r="M20" s="7" t="s">
        <v>52</v>
      </c>
      <c r="N20" s="7">
        <v>3</v>
      </c>
      <c r="O20" s="7">
        <v>811</v>
      </c>
      <c r="P20" s="7">
        <v>2068.0500000000002</v>
      </c>
      <c r="Q20" s="9">
        <v>397.59</v>
      </c>
      <c r="R20" s="17">
        <f t="shared" si="0"/>
        <v>0.192253572205701</v>
      </c>
    </row>
    <row r="21" spans="2:18" x14ac:dyDescent="0.3">
      <c r="B21" s="21" t="s">
        <v>89</v>
      </c>
      <c r="C21" s="11">
        <v>45355</v>
      </c>
      <c r="D21" s="10" t="s">
        <v>90</v>
      </c>
      <c r="E21" s="10" t="s">
        <v>65</v>
      </c>
      <c r="F21" s="10" t="s">
        <v>37</v>
      </c>
      <c r="G21" s="10">
        <v>18</v>
      </c>
      <c r="H21" s="10" t="s">
        <v>45</v>
      </c>
      <c r="I21" s="10" t="s">
        <v>21</v>
      </c>
      <c r="J21" s="10" t="s">
        <v>22</v>
      </c>
      <c r="K21" s="10" t="s">
        <v>31</v>
      </c>
      <c r="L21" s="10" t="s">
        <v>47</v>
      </c>
      <c r="M21" s="10" t="s">
        <v>25</v>
      </c>
      <c r="N21" s="10">
        <v>1</v>
      </c>
      <c r="O21" s="10">
        <v>44308</v>
      </c>
      <c r="P21" s="10">
        <v>42092.6</v>
      </c>
      <c r="Q21" s="12">
        <v>16232.85</v>
      </c>
      <c r="R21" s="17">
        <f t="shared" si="0"/>
        <v>0.38564617058580369</v>
      </c>
    </row>
    <row r="22" spans="2:18" x14ac:dyDescent="0.3">
      <c r="B22" s="20" t="s">
        <v>91</v>
      </c>
      <c r="C22" s="8">
        <v>45471</v>
      </c>
      <c r="D22" s="7" t="s">
        <v>92</v>
      </c>
      <c r="E22" s="7" t="s">
        <v>93</v>
      </c>
      <c r="F22" s="7" t="s">
        <v>37</v>
      </c>
      <c r="G22" s="7">
        <v>57</v>
      </c>
      <c r="H22" s="7" t="s">
        <v>45</v>
      </c>
      <c r="I22" s="7" t="s">
        <v>21</v>
      </c>
      <c r="J22" s="7" t="s">
        <v>50</v>
      </c>
      <c r="K22" s="7" t="s">
        <v>69</v>
      </c>
      <c r="L22" s="7" t="s">
        <v>24</v>
      </c>
      <c r="M22" s="7" t="s">
        <v>41</v>
      </c>
      <c r="N22" s="7">
        <v>5</v>
      </c>
      <c r="O22" s="7">
        <v>24644</v>
      </c>
      <c r="P22" s="7">
        <v>104737</v>
      </c>
      <c r="Q22" s="9">
        <v>21777.47</v>
      </c>
      <c r="R22" s="17">
        <f t="shared" si="0"/>
        <v>0.20792527950962889</v>
      </c>
    </row>
    <row r="23" spans="2:18" x14ac:dyDescent="0.3">
      <c r="B23" s="21" t="s">
        <v>94</v>
      </c>
      <c r="C23" s="11">
        <v>45409</v>
      </c>
      <c r="D23" s="10" t="s">
        <v>95</v>
      </c>
      <c r="E23" s="10" t="s">
        <v>44</v>
      </c>
      <c r="F23" s="10" t="s">
        <v>37</v>
      </c>
      <c r="G23" s="10">
        <v>27</v>
      </c>
      <c r="H23" s="10" t="s">
        <v>38</v>
      </c>
      <c r="I23" s="10" t="s">
        <v>21</v>
      </c>
      <c r="J23" s="10" t="s">
        <v>50</v>
      </c>
      <c r="K23" s="10" t="s">
        <v>23</v>
      </c>
      <c r="L23" s="10" t="s">
        <v>60</v>
      </c>
      <c r="M23" s="10" t="s">
        <v>33</v>
      </c>
      <c r="N23" s="10">
        <v>1</v>
      </c>
      <c r="O23" s="10">
        <v>3191</v>
      </c>
      <c r="P23" s="10">
        <v>2552.8000000000002</v>
      </c>
      <c r="Q23" s="12">
        <v>671.87</v>
      </c>
      <c r="R23" s="17">
        <f t="shared" si="0"/>
        <v>0.26318943904732056</v>
      </c>
    </row>
    <row r="24" spans="2:18" x14ac:dyDescent="0.3">
      <c r="B24" s="20" t="s">
        <v>96</v>
      </c>
      <c r="C24" s="8">
        <v>45445</v>
      </c>
      <c r="D24" s="7" t="s">
        <v>97</v>
      </c>
      <c r="E24" s="7" t="s">
        <v>55</v>
      </c>
      <c r="F24" s="7" t="s">
        <v>37</v>
      </c>
      <c r="G24" s="7">
        <v>55</v>
      </c>
      <c r="H24" s="7" t="s">
        <v>38</v>
      </c>
      <c r="I24" s="7" t="s">
        <v>21</v>
      </c>
      <c r="J24" s="7" t="s">
        <v>22</v>
      </c>
      <c r="K24" s="7" t="s">
        <v>51</v>
      </c>
      <c r="L24" s="7" t="s">
        <v>60</v>
      </c>
      <c r="M24" s="7" t="s">
        <v>52</v>
      </c>
      <c r="N24" s="7">
        <v>1</v>
      </c>
      <c r="O24" s="7">
        <v>4790</v>
      </c>
      <c r="P24" s="7">
        <v>3832</v>
      </c>
      <c r="Q24" s="9">
        <v>1017.42</v>
      </c>
      <c r="R24" s="17">
        <f t="shared" si="0"/>
        <v>0.26550626304801667</v>
      </c>
    </row>
    <row r="25" spans="2:18" x14ac:dyDescent="0.3">
      <c r="B25" s="21" t="s">
        <v>98</v>
      </c>
      <c r="C25" s="11">
        <v>45652</v>
      </c>
      <c r="D25" s="10" t="s">
        <v>99</v>
      </c>
      <c r="E25" s="10" t="s">
        <v>65</v>
      </c>
      <c r="F25" s="10" t="s">
        <v>37</v>
      </c>
      <c r="G25" s="10">
        <v>60</v>
      </c>
      <c r="H25" s="10" t="s">
        <v>20</v>
      </c>
      <c r="I25" s="10" t="s">
        <v>21</v>
      </c>
      <c r="J25" s="10" t="s">
        <v>50</v>
      </c>
      <c r="K25" s="10" t="s">
        <v>51</v>
      </c>
      <c r="L25" s="10" t="s">
        <v>80</v>
      </c>
      <c r="M25" s="10" t="s">
        <v>41</v>
      </c>
      <c r="N25" s="10">
        <v>3</v>
      </c>
      <c r="O25" s="10">
        <v>36083</v>
      </c>
      <c r="P25" s="10">
        <v>108249</v>
      </c>
      <c r="Q25" s="12">
        <v>36371.39</v>
      </c>
      <c r="R25" s="17">
        <f t="shared" si="0"/>
        <v>0.335997468798788</v>
      </c>
    </row>
    <row r="26" spans="2:18" x14ac:dyDescent="0.3">
      <c r="B26" s="20" t="s">
        <v>100</v>
      </c>
      <c r="C26" s="8">
        <v>45564</v>
      </c>
      <c r="D26" s="7" t="s">
        <v>101</v>
      </c>
      <c r="E26" s="7" t="s">
        <v>28</v>
      </c>
      <c r="F26" s="7" t="s">
        <v>37</v>
      </c>
      <c r="G26" s="7">
        <v>54</v>
      </c>
      <c r="H26" s="7" t="s">
        <v>20</v>
      </c>
      <c r="I26" s="7" t="s">
        <v>21</v>
      </c>
      <c r="J26" s="7" t="s">
        <v>50</v>
      </c>
      <c r="K26" s="7" t="s">
        <v>40</v>
      </c>
      <c r="L26" s="7" t="s">
        <v>60</v>
      </c>
      <c r="M26" s="7" t="s">
        <v>41</v>
      </c>
      <c r="N26" s="7">
        <v>4</v>
      </c>
      <c r="O26" s="7">
        <v>16789</v>
      </c>
      <c r="P26" s="7">
        <v>60440.4</v>
      </c>
      <c r="Q26" s="9">
        <v>9225.42</v>
      </c>
      <c r="R26" s="17">
        <f t="shared" si="0"/>
        <v>0.15263664701093971</v>
      </c>
    </row>
    <row r="27" spans="2:18" x14ac:dyDescent="0.3">
      <c r="B27" s="21" t="s">
        <v>102</v>
      </c>
      <c r="C27" s="11">
        <v>45597</v>
      </c>
      <c r="D27" s="10" t="s">
        <v>103</v>
      </c>
      <c r="E27" s="10" t="s">
        <v>76</v>
      </c>
      <c r="F27" s="10" t="s">
        <v>19</v>
      </c>
      <c r="G27" s="10">
        <v>58</v>
      </c>
      <c r="H27" s="10" t="s">
        <v>38</v>
      </c>
      <c r="I27" s="10" t="s">
        <v>21</v>
      </c>
      <c r="J27" s="10" t="s">
        <v>50</v>
      </c>
      <c r="K27" s="10" t="s">
        <v>40</v>
      </c>
      <c r="L27" s="10" t="s">
        <v>32</v>
      </c>
      <c r="M27" s="10" t="s">
        <v>33</v>
      </c>
      <c r="N27" s="10">
        <v>1</v>
      </c>
      <c r="O27" s="10">
        <v>17566</v>
      </c>
      <c r="P27" s="10">
        <v>14931.1</v>
      </c>
      <c r="Q27" s="12">
        <v>3289.85</v>
      </c>
      <c r="R27" s="17">
        <f t="shared" si="0"/>
        <v>0.22033540730421736</v>
      </c>
    </row>
    <row r="28" spans="2:18" x14ac:dyDescent="0.3">
      <c r="B28" s="20" t="s">
        <v>104</v>
      </c>
      <c r="C28" s="8">
        <v>45441</v>
      </c>
      <c r="D28" s="7" t="s">
        <v>105</v>
      </c>
      <c r="E28" s="7" t="s">
        <v>36</v>
      </c>
      <c r="F28" s="7" t="s">
        <v>19</v>
      </c>
      <c r="G28" s="7">
        <v>30</v>
      </c>
      <c r="H28" s="7" t="s">
        <v>45</v>
      </c>
      <c r="I28" s="7" t="s">
        <v>39</v>
      </c>
      <c r="J28" s="7" t="s">
        <v>30</v>
      </c>
      <c r="K28" s="7" t="s">
        <v>40</v>
      </c>
      <c r="L28" s="7" t="s">
        <v>60</v>
      </c>
      <c r="M28" s="7" t="s">
        <v>25</v>
      </c>
      <c r="N28" s="7">
        <v>2</v>
      </c>
      <c r="O28" s="7">
        <v>44177</v>
      </c>
      <c r="P28" s="7">
        <v>75100.899999999994</v>
      </c>
      <c r="Q28" s="9">
        <v>25612.75</v>
      </c>
      <c r="R28" s="17">
        <f t="shared" si="0"/>
        <v>0.34104451477945008</v>
      </c>
    </row>
    <row r="29" spans="2:18" x14ac:dyDescent="0.3">
      <c r="B29" s="21" t="s">
        <v>106</v>
      </c>
      <c r="C29" s="11">
        <v>45384</v>
      </c>
      <c r="D29" s="10" t="s">
        <v>107</v>
      </c>
      <c r="E29" s="10" t="s">
        <v>65</v>
      </c>
      <c r="F29" s="10" t="s">
        <v>19</v>
      </c>
      <c r="G29" s="10">
        <v>21</v>
      </c>
      <c r="H29" s="10" t="s">
        <v>56</v>
      </c>
      <c r="I29" s="10" t="s">
        <v>21</v>
      </c>
      <c r="J29" s="10" t="s">
        <v>22</v>
      </c>
      <c r="K29" s="10" t="s">
        <v>51</v>
      </c>
      <c r="L29" s="10" t="s">
        <v>47</v>
      </c>
      <c r="M29" s="10" t="s">
        <v>41</v>
      </c>
      <c r="N29" s="10">
        <v>4</v>
      </c>
      <c r="O29" s="10">
        <v>14769</v>
      </c>
      <c r="P29" s="10">
        <v>47260.800000000003</v>
      </c>
      <c r="Q29" s="12">
        <v>8307.44</v>
      </c>
      <c r="R29" s="17">
        <f t="shared" si="0"/>
        <v>0.17577865799986458</v>
      </c>
    </row>
    <row r="30" spans="2:18" x14ac:dyDescent="0.3">
      <c r="B30" s="20" t="s">
        <v>108</v>
      </c>
      <c r="C30" s="8">
        <v>45539</v>
      </c>
      <c r="D30" s="7" t="s">
        <v>109</v>
      </c>
      <c r="E30" s="7" t="s">
        <v>28</v>
      </c>
      <c r="F30" s="7" t="s">
        <v>19</v>
      </c>
      <c r="G30" s="7">
        <v>32</v>
      </c>
      <c r="H30" s="7" t="s">
        <v>20</v>
      </c>
      <c r="I30" s="7" t="s">
        <v>39</v>
      </c>
      <c r="J30" s="7" t="s">
        <v>50</v>
      </c>
      <c r="K30" s="7" t="s">
        <v>69</v>
      </c>
      <c r="L30" s="7" t="s">
        <v>80</v>
      </c>
      <c r="M30" s="7" t="s">
        <v>41</v>
      </c>
      <c r="N30" s="7">
        <v>3</v>
      </c>
      <c r="O30" s="7">
        <v>35284</v>
      </c>
      <c r="P30" s="7">
        <v>105852</v>
      </c>
      <c r="Q30" s="9">
        <v>35503.58</v>
      </c>
      <c r="R30" s="17">
        <f t="shared" si="0"/>
        <v>0.33540773910743304</v>
      </c>
    </row>
    <row r="31" spans="2:18" x14ac:dyDescent="0.3">
      <c r="B31" s="21" t="s">
        <v>110</v>
      </c>
      <c r="C31" s="11">
        <v>45406</v>
      </c>
      <c r="D31" s="10" t="s">
        <v>111</v>
      </c>
      <c r="E31" s="10" t="s">
        <v>55</v>
      </c>
      <c r="F31" s="10" t="s">
        <v>37</v>
      </c>
      <c r="G31" s="10">
        <v>56</v>
      </c>
      <c r="H31" s="10" t="s">
        <v>29</v>
      </c>
      <c r="I31" s="10" t="s">
        <v>39</v>
      </c>
      <c r="J31" s="10" t="s">
        <v>30</v>
      </c>
      <c r="K31" s="10" t="s">
        <v>23</v>
      </c>
      <c r="L31" s="10" t="s">
        <v>24</v>
      </c>
      <c r="M31" s="10" t="s">
        <v>33</v>
      </c>
      <c r="N31" s="10">
        <v>1</v>
      </c>
      <c r="O31" s="10">
        <v>41414</v>
      </c>
      <c r="P31" s="10">
        <v>41414</v>
      </c>
      <c r="Q31" s="12">
        <v>11131.07</v>
      </c>
      <c r="R31" s="17">
        <f t="shared" si="0"/>
        <v>0.2687755348432897</v>
      </c>
    </row>
    <row r="32" spans="2:18" x14ac:dyDescent="0.3">
      <c r="B32" s="20" t="s">
        <v>112</v>
      </c>
      <c r="C32" s="8">
        <v>45593</v>
      </c>
      <c r="D32" s="7" t="s">
        <v>113</v>
      </c>
      <c r="E32" s="7" t="s">
        <v>36</v>
      </c>
      <c r="F32" s="7" t="s">
        <v>19</v>
      </c>
      <c r="G32" s="7">
        <v>26</v>
      </c>
      <c r="H32" s="7" t="s">
        <v>56</v>
      </c>
      <c r="I32" s="7" t="s">
        <v>21</v>
      </c>
      <c r="J32" s="7" t="s">
        <v>50</v>
      </c>
      <c r="K32" s="7" t="s">
        <v>23</v>
      </c>
      <c r="L32" s="7" t="s">
        <v>47</v>
      </c>
      <c r="M32" s="7" t="s">
        <v>52</v>
      </c>
      <c r="N32" s="7">
        <v>3</v>
      </c>
      <c r="O32" s="7">
        <v>1903</v>
      </c>
      <c r="P32" s="7">
        <v>4567.2</v>
      </c>
      <c r="Q32" s="9">
        <v>1752.68</v>
      </c>
      <c r="R32" s="17">
        <f t="shared" si="0"/>
        <v>0.38375372219302856</v>
      </c>
    </row>
    <row r="33" spans="2:18" x14ac:dyDescent="0.3">
      <c r="B33" s="21" t="s">
        <v>114</v>
      </c>
      <c r="C33" s="11">
        <v>45357</v>
      </c>
      <c r="D33" s="10" t="s">
        <v>115</v>
      </c>
      <c r="E33" s="10" t="s">
        <v>65</v>
      </c>
      <c r="F33" s="10" t="s">
        <v>19</v>
      </c>
      <c r="G33" s="10">
        <v>59</v>
      </c>
      <c r="H33" s="10" t="s">
        <v>66</v>
      </c>
      <c r="I33" s="10" t="s">
        <v>21</v>
      </c>
      <c r="J33" s="10" t="s">
        <v>30</v>
      </c>
      <c r="K33" s="10" t="s">
        <v>23</v>
      </c>
      <c r="L33" s="10" t="s">
        <v>32</v>
      </c>
      <c r="M33" s="10" t="s">
        <v>33</v>
      </c>
      <c r="N33" s="10">
        <v>5</v>
      </c>
      <c r="O33" s="10">
        <v>2384</v>
      </c>
      <c r="P33" s="10">
        <v>10132</v>
      </c>
      <c r="Q33" s="12">
        <v>3594.65</v>
      </c>
      <c r="R33" s="17">
        <f t="shared" si="0"/>
        <v>0.35478187919463089</v>
      </c>
    </row>
    <row r="34" spans="2:18" x14ac:dyDescent="0.3">
      <c r="B34" s="20" t="s">
        <v>116</v>
      </c>
      <c r="C34" s="8">
        <v>45471</v>
      </c>
      <c r="D34" s="7" t="s">
        <v>117</v>
      </c>
      <c r="E34" s="7" t="s">
        <v>65</v>
      </c>
      <c r="F34" s="7" t="s">
        <v>37</v>
      </c>
      <c r="G34" s="7">
        <v>18</v>
      </c>
      <c r="H34" s="7" t="s">
        <v>29</v>
      </c>
      <c r="I34" s="7" t="s">
        <v>21</v>
      </c>
      <c r="J34" s="7" t="s">
        <v>30</v>
      </c>
      <c r="K34" s="7" t="s">
        <v>69</v>
      </c>
      <c r="L34" s="7" t="s">
        <v>60</v>
      </c>
      <c r="M34" s="7" t="s">
        <v>25</v>
      </c>
      <c r="N34" s="7">
        <v>1</v>
      </c>
      <c r="O34" s="7">
        <v>37869</v>
      </c>
      <c r="P34" s="7">
        <v>30295.200000000001</v>
      </c>
      <c r="Q34" s="9">
        <v>8678.44</v>
      </c>
      <c r="R34" s="17">
        <f t="shared" si="0"/>
        <v>0.28646254192083237</v>
      </c>
    </row>
    <row r="35" spans="2:18" x14ac:dyDescent="0.3">
      <c r="B35" s="21" t="s">
        <v>118</v>
      </c>
      <c r="C35" s="11">
        <v>45563</v>
      </c>
      <c r="D35" s="10" t="s">
        <v>119</v>
      </c>
      <c r="E35" s="10" t="s">
        <v>28</v>
      </c>
      <c r="F35" s="10" t="s">
        <v>37</v>
      </c>
      <c r="G35" s="10">
        <v>46</v>
      </c>
      <c r="H35" s="10" t="s">
        <v>56</v>
      </c>
      <c r="I35" s="10" t="s">
        <v>21</v>
      </c>
      <c r="J35" s="10" t="s">
        <v>30</v>
      </c>
      <c r="K35" s="10" t="s">
        <v>69</v>
      </c>
      <c r="L35" s="10" t="s">
        <v>60</v>
      </c>
      <c r="M35" s="10" t="s">
        <v>41</v>
      </c>
      <c r="N35" s="10">
        <v>3</v>
      </c>
      <c r="O35" s="10">
        <v>34381</v>
      </c>
      <c r="P35" s="10">
        <v>97985.85</v>
      </c>
      <c r="Q35" s="12">
        <v>26651.54</v>
      </c>
      <c r="R35" s="17">
        <f t="shared" si="0"/>
        <v>0.27199376236466793</v>
      </c>
    </row>
    <row r="36" spans="2:18" x14ac:dyDescent="0.3">
      <c r="B36" s="20" t="s">
        <v>120</v>
      </c>
      <c r="C36" s="8">
        <v>45529</v>
      </c>
      <c r="D36" s="7" t="s">
        <v>121</v>
      </c>
      <c r="E36" s="7" t="s">
        <v>55</v>
      </c>
      <c r="F36" s="7" t="s">
        <v>37</v>
      </c>
      <c r="G36" s="7">
        <v>35</v>
      </c>
      <c r="H36" s="7" t="s">
        <v>29</v>
      </c>
      <c r="I36" s="7" t="s">
        <v>21</v>
      </c>
      <c r="J36" s="7" t="s">
        <v>50</v>
      </c>
      <c r="K36" s="7" t="s">
        <v>40</v>
      </c>
      <c r="L36" s="7" t="s">
        <v>24</v>
      </c>
      <c r="M36" s="7" t="s">
        <v>52</v>
      </c>
      <c r="N36" s="7">
        <v>4</v>
      </c>
      <c r="O36" s="7">
        <v>27404</v>
      </c>
      <c r="P36" s="7">
        <v>104135.2</v>
      </c>
      <c r="Q36" s="9">
        <v>39984.47</v>
      </c>
      <c r="R36" s="17">
        <f t="shared" si="0"/>
        <v>0.38396690072136991</v>
      </c>
    </row>
    <row r="37" spans="2:18" x14ac:dyDescent="0.3">
      <c r="B37" s="21" t="s">
        <v>122</v>
      </c>
      <c r="C37" s="11">
        <v>45630</v>
      </c>
      <c r="D37" s="10" t="s">
        <v>123</v>
      </c>
      <c r="E37" s="10" t="s">
        <v>36</v>
      </c>
      <c r="F37" s="10" t="s">
        <v>19</v>
      </c>
      <c r="G37" s="10">
        <v>28</v>
      </c>
      <c r="H37" s="10" t="s">
        <v>29</v>
      </c>
      <c r="I37" s="10" t="s">
        <v>21</v>
      </c>
      <c r="J37" s="10" t="s">
        <v>30</v>
      </c>
      <c r="K37" s="10" t="s">
        <v>40</v>
      </c>
      <c r="L37" s="10" t="s">
        <v>80</v>
      </c>
      <c r="M37" s="10" t="s">
        <v>33</v>
      </c>
      <c r="N37" s="10">
        <v>3</v>
      </c>
      <c r="O37" s="10">
        <v>3184</v>
      </c>
      <c r="P37" s="10">
        <v>8119.2</v>
      </c>
      <c r="Q37" s="12">
        <v>2269.52</v>
      </c>
      <c r="R37" s="17">
        <f t="shared" si="0"/>
        <v>0.2795250763622032</v>
      </c>
    </row>
    <row r="38" spans="2:18" x14ac:dyDescent="0.3">
      <c r="B38" s="20" t="s">
        <v>124</v>
      </c>
      <c r="C38" s="8">
        <v>45415</v>
      </c>
      <c r="D38" s="7" t="s">
        <v>125</v>
      </c>
      <c r="E38" s="7" t="s">
        <v>18</v>
      </c>
      <c r="F38" s="7" t="s">
        <v>19</v>
      </c>
      <c r="G38" s="7">
        <v>41</v>
      </c>
      <c r="H38" s="7" t="s">
        <v>38</v>
      </c>
      <c r="I38" s="7" t="s">
        <v>39</v>
      </c>
      <c r="J38" s="7" t="s">
        <v>30</v>
      </c>
      <c r="K38" s="7" t="s">
        <v>51</v>
      </c>
      <c r="L38" s="7" t="s">
        <v>47</v>
      </c>
      <c r="M38" s="7" t="s">
        <v>41</v>
      </c>
      <c r="N38" s="7">
        <v>2</v>
      </c>
      <c r="O38" s="7">
        <v>31617</v>
      </c>
      <c r="P38" s="7">
        <v>60072.3</v>
      </c>
      <c r="Q38" s="9">
        <v>16050.29</v>
      </c>
      <c r="R38" s="17">
        <f t="shared" si="0"/>
        <v>0.26718287796538503</v>
      </c>
    </row>
    <row r="39" spans="2:18" x14ac:dyDescent="0.3">
      <c r="B39" s="21" t="s">
        <v>126</v>
      </c>
      <c r="C39" s="11">
        <v>45540</v>
      </c>
      <c r="D39" s="10" t="s">
        <v>127</v>
      </c>
      <c r="E39" s="10" t="s">
        <v>59</v>
      </c>
      <c r="F39" s="10" t="s">
        <v>19</v>
      </c>
      <c r="G39" s="10">
        <v>40</v>
      </c>
      <c r="H39" s="10" t="s">
        <v>66</v>
      </c>
      <c r="I39" s="10" t="s">
        <v>21</v>
      </c>
      <c r="J39" s="10" t="s">
        <v>22</v>
      </c>
      <c r="K39" s="10" t="s">
        <v>31</v>
      </c>
      <c r="L39" s="10" t="s">
        <v>32</v>
      </c>
      <c r="M39" s="10" t="s">
        <v>33</v>
      </c>
      <c r="N39" s="10">
        <v>4</v>
      </c>
      <c r="O39" s="10">
        <v>32915</v>
      </c>
      <c r="P39" s="10">
        <v>125077</v>
      </c>
      <c r="Q39" s="12">
        <v>48673.7</v>
      </c>
      <c r="R39" s="17">
        <f t="shared" si="0"/>
        <v>0.38914988367165826</v>
      </c>
    </row>
    <row r="40" spans="2:18" x14ac:dyDescent="0.3">
      <c r="B40" s="20" t="s">
        <v>128</v>
      </c>
      <c r="C40" s="8">
        <v>45574</v>
      </c>
      <c r="D40" s="7" t="s">
        <v>129</v>
      </c>
      <c r="E40" s="7" t="s">
        <v>59</v>
      </c>
      <c r="F40" s="7" t="s">
        <v>19</v>
      </c>
      <c r="G40" s="7">
        <v>42</v>
      </c>
      <c r="H40" s="7" t="s">
        <v>45</v>
      </c>
      <c r="I40" s="7" t="s">
        <v>46</v>
      </c>
      <c r="J40" s="7" t="s">
        <v>30</v>
      </c>
      <c r="K40" s="7" t="s">
        <v>23</v>
      </c>
      <c r="L40" s="7" t="s">
        <v>24</v>
      </c>
      <c r="M40" s="7" t="s">
        <v>52</v>
      </c>
      <c r="N40" s="7">
        <v>4</v>
      </c>
      <c r="O40" s="7">
        <v>14559</v>
      </c>
      <c r="P40" s="7">
        <v>49500.6</v>
      </c>
      <c r="Q40" s="9">
        <v>10753.5</v>
      </c>
      <c r="R40" s="17">
        <f t="shared" si="0"/>
        <v>0.21723979103283597</v>
      </c>
    </row>
    <row r="41" spans="2:18" x14ac:dyDescent="0.3">
      <c r="B41" s="21" t="s">
        <v>130</v>
      </c>
      <c r="C41" s="11">
        <v>45567</v>
      </c>
      <c r="D41" s="10" t="s">
        <v>131</v>
      </c>
      <c r="E41" s="10" t="s">
        <v>59</v>
      </c>
      <c r="F41" s="10" t="s">
        <v>37</v>
      </c>
      <c r="G41" s="10">
        <v>31</v>
      </c>
      <c r="H41" s="10" t="s">
        <v>66</v>
      </c>
      <c r="I41" s="10" t="s">
        <v>39</v>
      </c>
      <c r="J41" s="10" t="s">
        <v>50</v>
      </c>
      <c r="K41" s="10" t="s">
        <v>31</v>
      </c>
      <c r="L41" s="10" t="s">
        <v>32</v>
      </c>
      <c r="M41" s="10" t="s">
        <v>41</v>
      </c>
      <c r="N41" s="10">
        <v>5</v>
      </c>
      <c r="O41" s="10">
        <v>25695</v>
      </c>
      <c r="P41" s="10">
        <v>122051.25</v>
      </c>
      <c r="Q41" s="12">
        <v>22853.7</v>
      </c>
      <c r="R41" s="17">
        <f t="shared" si="0"/>
        <v>0.18724675085261314</v>
      </c>
    </row>
    <row r="42" spans="2:18" x14ac:dyDescent="0.3">
      <c r="B42" s="20" t="s">
        <v>132</v>
      </c>
      <c r="C42" s="8">
        <v>45578</v>
      </c>
      <c r="D42" s="7" t="s">
        <v>133</v>
      </c>
      <c r="E42" s="7" t="s">
        <v>36</v>
      </c>
      <c r="F42" s="7" t="s">
        <v>19</v>
      </c>
      <c r="G42" s="7">
        <v>47</v>
      </c>
      <c r="H42" s="7" t="s">
        <v>66</v>
      </c>
      <c r="I42" s="7" t="s">
        <v>21</v>
      </c>
      <c r="J42" s="7" t="s">
        <v>30</v>
      </c>
      <c r="K42" s="7" t="s">
        <v>40</v>
      </c>
      <c r="L42" s="7" t="s">
        <v>60</v>
      </c>
      <c r="M42" s="7" t="s">
        <v>25</v>
      </c>
      <c r="N42" s="7">
        <v>1</v>
      </c>
      <c r="O42" s="7">
        <v>34443</v>
      </c>
      <c r="P42" s="7">
        <v>29276.55</v>
      </c>
      <c r="Q42" s="9">
        <v>11616.07</v>
      </c>
      <c r="R42" s="17">
        <f t="shared" si="0"/>
        <v>0.3967704528026697</v>
      </c>
    </row>
    <row r="43" spans="2:18" x14ac:dyDescent="0.3">
      <c r="B43" s="21" t="s">
        <v>134</v>
      </c>
      <c r="C43" s="11">
        <v>45546</v>
      </c>
      <c r="D43" s="10" t="s">
        <v>135</v>
      </c>
      <c r="E43" s="10" t="s">
        <v>59</v>
      </c>
      <c r="F43" s="10" t="s">
        <v>19</v>
      </c>
      <c r="G43" s="10">
        <v>58</v>
      </c>
      <c r="H43" s="10" t="s">
        <v>29</v>
      </c>
      <c r="I43" s="10" t="s">
        <v>21</v>
      </c>
      <c r="J43" s="10" t="s">
        <v>30</v>
      </c>
      <c r="K43" s="10" t="s">
        <v>40</v>
      </c>
      <c r="L43" s="10" t="s">
        <v>47</v>
      </c>
      <c r="M43" s="10" t="s">
        <v>25</v>
      </c>
      <c r="N43" s="10">
        <v>2</v>
      </c>
      <c r="O43" s="10">
        <v>37641</v>
      </c>
      <c r="P43" s="10">
        <v>71517.899999999994</v>
      </c>
      <c r="Q43" s="12">
        <v>15976.18</v>
      </c>
      <c r="R43" s="17">
        <f t="shared" si="0"/>
        <v>0.2233871520276742</v>
      </c>
    </row>
    <row r="44" spans="2:18" x14ac:dyDescent="0.3">
      <c r="B44" s="20" t="s">
        <v>136</v>
      </c>
      <c r="C44" s="8">
        <v>45511</v>
      </c>
      <c r="D44" s="7" t="s">
        <v>137</v>
      </c>
      <c r="E44" s="7" t="s">
        <v>93</v>
      </c>
      <c r="F44" s="7" t="s">
        <v>19</v>
      </c>
      <c r="G44" s="7">
        <v>27</v>
      </c>
      <c r="H44" s="7" t="s">
        <v>20</v>
      </c>
      <c r="I44" s="7" t="s">
        <v>46</v>
      </c>
      <c r="J44" s="7" t="s">
        <v>30</v>
      </c>
      <c r="K44" s="7" t="s">
        <v>23</v>
      </c>
      <c r="L44" s="7" t="s">
        <v>80</v>
      </c>
      <c r="M44" s="7" t="s">
        <v>33</v>
      </c>
      <c r="N44" s="7">
        <v>3</v>
      </c>
      <c r="O44" s="7">
        <v>17564</v>
      </c>
      <c r="P44" s="7">
        <v>42153.599999999999</v>
      </c>
      <c r="Q44" s="9">
        <v>16046.49</v>
      </c>
      <c r="R44" s="17">
        <f t="shared" si="0"/>
        <v>0.38066713163288546</v>
      </c>
    </row>
    <row r="45" spans="2:18" x14ac:dyDescent="0.3">
      <c r="B45" s="21" t="s">
        <v>138</v>
      </c>
      <c r="C45" s="11">
        <v>45531</v>
      </c>
      <c r="D45" s="10" t="s">
        <v>139</v>
      </c>
      <c r="E45" s="10" t="s">
        <v>93</v>
      </c>
      <c r="F45" s="10" t="s">
        <v>19</v>
      </c>
      <c r="G45" s="10">
        <v>56</v>
      </c>
      <c r="H45" s="10" t="s">
        <v>29</v>
      </c>
      <c r="I45" s="10" t="s">
        <v>46</v>
      </c>
      <c r="J45" s="10" t="s">
        <v>22</v>
      </c>
      <c r="K45" s="10" t="s">
        <v>69</v>
      </c>
      <c r="L45" s="10" t="s">
        <v>80</v>
      </c>
      <c r="M45" s="10" t="s">
        <v>41</v>
      </c>
      <c r="N45" s="10">
        <v>5</v>
      </c>
      <c r="O45" s="10">
        <v>41500</v>
      </c>
      <c r="P45" s="10">
        <v>207500</v>
      </c>
      <c r="Q45" s="12">
        <v>36912.870000000003</v>
      </c>
      <c r="R45" s="17">
        <f t="shared" si="0"/>
        <v>0.17789334939759038</v>
      </c>
    </row>
    <row r="46" spans="2:18" x14ac:dyDescent="0.3">
      <c r="B46" s="20" t="s">
        <v>140</v>
      </c>
      <c r="C46" s="8">
        <v>45500</v>
      </c>
      <c r="D46" s="7" t="s">
        <v>141</v>
      </c>
      <c r="E46" s="7" t="s">
        <v>18</v>
      </c>
      <c r="F46" s="7" t="s">
        <v>37</v>
      </c>
      <c r="G46" s="7">
        <v>40</v>
      </c>
      <c r="H46" s="7" t="s">
        <v>29</v>
      </c>
      <c r="I46" s="7" t="s">
        <v>21</v>
      </c>
      <c r="J46" s="7" t="s">
        <v>50</v>
      </c>
      <c r="K46" s="7" t="s">
        <v>51</v>
      </c>
      <c r="L46" s="7" t="s">
        <v>24</v>
      </c>
      <c r="M46" s="7" t="s">
        <v>41</v>
      </c>
      <c r="N46" s="7">
        <v>4</v>
      </c>
      <c r="O46" s="7">
        <v>3357</v>
      </c>
      <c r="P46" s="7">
        <v>11413.8</v>
      </c>
      <c r="Q46" s="9">
        <v>3414.04</v>
      </c>
      <c r="R46" s="17">
        <f t="shared" si="0"/>
        <v>0.29911510627486027</v>
      </c>
    </row>
    <row r="47" spans="2:18" x14ac:dyDescent="0.3">
      <c r="B47" s="21" t="s">
        <v>142</v>
      </c>
      <c r="C47" s="11">
        <v>45556</v>
      </c>
      <c r="D47" s="10" t="s">
        <v>143</v>
      </c>
      <c r="E47" s="10" t="s">
        <v>65</v>
      </c>
      <c r="F47" s="10" t="s">
        <v>37</v>
      </c>
      <c r="G47" s="10">
        <v>40</v>
      </c>
      <c r="H47" s="10" t="s">
        <v>29</v>
      </c>
      <c r="I47" s="10" t="s">
        <v>39</v>
      </c>
      <c r="J47" s="10" t="s">
        <v>22</v>
      </c>
      <c r="K47" s="10" t="s">
        <v>40</v>
      </c>
      <c r="L47" s="10" t="s">
        <v>24</v>
      </c>
      <c r="M47" s="10" t="s">
        <v>41</v>
      </c>
      <c r="N47" s="10">
        <v>1</v>
      </c>
      <c r="O47" s="10">
        <v>49108</v>
      </c>
      <c r="P47" s="10">
        <v>49108</v>
      </c>
      <c r="Q47" s="12">
        <v>18713.96</v>
      </c>
      <c r="R47" s="17">
        <f t="shared" si="0"/>
        <v>0.3810776248269121</v>
      </c>
    </row>
    <row r="48" spans="2:18" x14ac:dyDescent="0.3">
      <c r="B48" s="20" t="s">
        <v>144</v>
      </c>
      <c r="C48" s="8">
        <v>45345</v>
      </c>
      <c r="D48" s="7" t="s">
        <v>145</v>
      </c>
      <c r="E48" s="7" t="s">
        <v>36</v>
      </c>
      <c r="F48" s="7" t="s">
        <v>37</v>
      </c>
      <c r="G48" s="7">
        <v>60</v>
      </c>
      <c r="H48" s="7" t="s">
        <v>38</v>
      </c>
      <c r="I48" s="7" t="s">
        <v>46</v>
      </c>
      <c r="J48" s="7" t="s">
        <v>22</v>
      </c>
      <c r="K48" s="7" t="s">
        <v>69</v>
      </c>
      <c r="L48" s="7" t="s">
        <v>24</v>
      </c>
      <c r="M48" s="7" t="s">
        <v>52</v>
      </c>
      <c r="N48" s="7">
        <v>1</v>
      </c>
      <c r="O48" s="7">
        <v>39685</v>
      </c>
      <c r="P48" s="7">
        <v>35716.5</v>
      </c>
      <c r="Q48" s="9">
        <v>7510.49</v>
      </c>
      <c r="R48" s="17">
        <f t="shared" si="0"/>
        <v>0.21028068259767893</v>
      </c>
    </row>
    <row r="49" spans="2:18" x14ac:dyDescent="0.3">
      <c r="B49" s="21" t="s">
        <v>146</v>
      </c>
      <c r="C49" s="11">
        <v>45314</v>
      </c>
      <c r="D49" s="10" t="s">
        <v>147</v>
      </c>
      <c r="E49" s="10" t="s">
        <v>59</v>
      </c>
      <c r="F49" s="10" t="s">
        <v>37</v>
      </c>
      <c r="G49" s="10">
        <v>53</v>
      </c>
      <c r="H49" s="10" t="s">
        <v>38</v>
      </c>
      <c r="I49" s="10" t="s">
        <v>21</v>
      </c>
      <c r="J49" s="10" t="s">
        <v>50</v>
      </c>
      <c r="K49" s="10" t="s">
        <v>51</v>
      </c>
      <c r="L49" s="10" t="s">
        <v>47</v>
      </c>
      <c r="M49" s="10" t="s">
        <v>25</v>
      </c>
      <c r="N49" s="10">
        <v>3</v>
      </c>
      <c r="O49" s="10">
        <v>2152</v>
      </c>
      <c r="P49" s="10">
        <v>6456</v>
      </c>
      <c r="Q49" s="12">
        <v>1902.59</v>
      </c>
      <c r="R49" s="17">
        <f t="shared" si="0"/>
        <v>0.294701053283767</v>
      </c>
    </row>
    <row r="50" spans="2:18" x14ac:dyDescent="0.3">
      <c r="B50" s="20" t="s">
        <v>148</v>
      </c>
      <c r="C50" s="8">
        <v>45632</v>
      </c>
      <c r="D50" s="7" t="s">
        <v>149</v>
      </c>
      <c r="E50" s="7" t="s">
        <v>93</v>
      </c>
      <c r="F50" s="7" t="s">
        <v>19</v>
      </c>
      <c r="G50" s="7">
        <v>51</v>
      </c>
      <c r="H50" s="7" t="s">
        <v>45</v>
      </c>
      <c r="I50" s="7" t="s">
        <v>46</v>
      </c>
      <c r="J50" s="7" t="s">
        <v>50</v>
      </c>
      <c r="K50" s="7" t="s">
        <v>23</v>
      </c>
      <c r="L50" s="7" t="s">
        <v>24</v>
      </c>
      <c r="M50" s="7" t="s">
        <v>52</v>
      </c>
      <c r="N50" s="7">
        <v>3</v>
      </c>
      <c r="O50" s="7">
        <v>1425</v>
      </c>
      <c r="P50" s="7">
        <v>3420</v>
      </c>
      <c r="Q50" s="9">
        <v>1115.29</v>
      </c>
      <c r="R50" s="17">
        <f t="shared" si="0"/>
        <v>0.3261081871345029</v>
      </c>
    </row>
    <row r="51" spans="2:18" x14ac:dyDescent="0.3">
      <c r="B51" s="21" t="s">
        <v>150</v>
      </c>
      <c r="C51" s="11">
        <v>45369</v>
      </c>
      <c r="D51" s="10" t="s">
        <v>151</v>
      </c>
      <c r="E51" s="10" t="s">
        <v>79</v>
      </c>
      <c r="F51" s="10" t="s">
        <v>19</v>
      </c>
      <c r="G51" s="10">
        <v>39</v>
      </c>
      <c r="H51" s="10" t="s">
        <v>45</v>
      </c>
      <c r="I51" s="10" t="s">
        <v>21</v>
      </c>
      <c r="J51" s="10" t="s">
        <v>50</v>
      </c>
      <c r="K51" s="10" t="s">
        <v>40</v>
      </c>
      <c r="L51" s="10" t="s">
        <v>24</v>
      </c>
      <c r="M51" s="10" t="s">
        <v>25</v>
      </c>
      <c r="N51" s="10">
        <v>5</v>
      </c>
      <c r="O51" s="10">
        <v>34301</v>
      </c>
      <c r="P51" s="10">
        <v>154354.5</v>
      </c>
      <c r="Q51" s="12">
        <v>55625.25</v>
      </c>
      <c r="R51" s="17">
        <f t="shared" si="0"/>
        <v>0.36037336132085557</v>
      </c>
    </row>
    <row r="52" spans="2:18" x14ac:dyDescent="0.3">
      <c r="B52" s="20" t="s">
        <v>152</v>
      </c>
      <c r="C52" s="8">
        <v>45648</v>
      </c>
      <c r="D52" s="7" t="s">
        <v>153</v>
      </c>
      <c r="E52" s="7" t="s">
        <v>55</v>
      </c>
      <c r="F52" s="7" t="s">
        <v>37</v>
      </c>
      <c r="G52" s="7">
        <v>38</v>
      </c>
      <c r="H52" s="7" t="s">
        <v>29</v>
      </c>
      <c r="I52" s="7" t="s">
        <v>21</v>
      </c>
      <c r="J52" s="7" t="s">
        <v>30</v>
      </c>
      <c r="K52" s="7" t="s">
        <v>40</v>
      </c>
      <c r="L52" s="7" t="s">
        <v>24</v>
      </c>
      <c r="M52" s="7" t="s">
        <v>25</v>
      </c>
      <c r="N52" s="7">
        <v>5</v>
      </c>
      <c r="O52" s="7">
        <v>13180</v>
      </c>
      <c r="P52" s="7">
        <v>65900</v>
      </c>
      <c r="Q52" s="9">
        <v>10801.19</v>
      </c>
      <c r="R52" s="17">
        <f t="shared" si="0"/>
        <v>0.16390273141122913</v>
      </c>
    </row>
    <row r="53" spans="2:18" x14ac:dyDescent="0.3">
      <c r="B53" s="21" t="s">
        <v>154</v>
      </c>
      <c r="C53" s="11">
        <v>45437</v>
      </c>
      <c r="D53" s="10" t="s">
        <v>155</v>
      </c>
      <c r="E53" s="10" t="s">
        <v>44</v>
      </c>
      <c r="F53" s="10" t="s">
        <v>19</v>
      </c>
      <c r="G53" s="10">
        <v>20</v>
      </c>
      <c r="H53" s="10" t="s">
        <v>20</v>
      </c>
      <c r="I53" s="10" t="s">
        <v>21</v>
      </c>
      <c r="J53" s="10" t="s">
        <v>30</v>
      </c>
      <c r="K53" s="10" t="s">
        <v>51</v>
      </c>
      <c r="L53" s="10" t="s">
        <v>80</v>
      </c>
      <c r="M53" s="10" t="s">
        <v>33</v>
      </c>
      <c r="N53" s="10">
        <v>5</v>
      </c>
      <c r="O53" s="10">
        <v>40570</v>
      </c>
      <c r="P53" s="10">
        <v>172422.5</v>
      </c>
      <c r="Q53" s="12">
        <v>43557.14</v>
      </c>
      <c r="R53" s="17">
        <f t="shared" si="0"/>
        <v>0.25261865475793471</v>
      </c>
    </row>
    <row r="54" spans="2:18" x14ac:dyDescent="0.3">
      <c r="B54" s="20" t="s">
        <v>156</v>
      </c>
      <c r="C54" s="8">
        <v>45554</v>
      </c>
      <c r="D54" s="7" t="s">
        <v>157</v>
      </c>
      <c r="E54" s="7" t="s">
        <v>18</v>
      </c>
      <c r="F54" s="7" t="s">
        <v>37</v>
      </c>
      <c r="G54" s="7">
        <v>32</v>
      </c>
      <c r="H54" s="7" t="s">
        <v>56</v>
      </c>
      <c r="I54" s="7" t="s">
        <v>21</v>
      </c>
      <c r="J54" s="7" t="s">
        <v>30</v>
      </c>
      <c r="K54" s="7" t="s">
        <v>69</v>
      </c>
      <c r="L54" s="7" t="s">
        <v>32</v>
      </c>
      <c r="M54" s="7" t="s">
        <v>52</v>
      </c>
      <c r="N54" s="7">
        <v>1</v>
      </c>
      <c r="O54" s="7">
        <v>26902</v>
      </c>
      <c r="P54" s="7">
        <v>21521.599999999999</v>
      </c>
      <c r="Q54" s="9">
        <v>6955.57</v>
      </c>
      <c r="R54" s="17">
        <f t="shared" si="0"/>
        <v>0.32319019032042229</v>
      </c>
    </row>
    <row r="55" spans="2:18" x14ac:dyDescent="0.3">
      <c r="B55" s="21" t="s">
        <v>158</v>
      </c>
      <c r="C55" s="11">
        <v>45430</v>
      </c>
      <c r="D55" s="10" t="s">
        <v>159</v>
      </c>
      <c r="E55" s="10" t="s">
        <v>55</v>
      </c>
      <c r="F55" s="10" t="s">
        <v>19</v>
      </c>
      <c r="G55" s="10">
        <v>25</v>
      </c>
      <c r="H55" s="10" t="s">
        <v>45</v>
      </c>
      <c r="I55" s="10" t="s">
        <v>21</v>
      </c>
      <c r="J55" s="10" t="s">
        <v>30</v>
      </c>
      <c r="K55" s="10" t="s">
        <v>31</v>
      </c>
      <c r="L55" s="10" t="s">
        <v>47</v>
      </c>
      <c r="M55" s="10" t="s">
        <v>52</v>
      </c>
      <c r="N55" s="10">
        <v>5</v>
      </c>
      <c r="O55" s="10">
        <v>22915</v>
      </c>
      <c r="P55" s="10">
        <v>114575</v>
      </c>
      <c r="Q55" s="12">
        <v>39746.910000000003</v>
      </c>
      <c r="R55" s="17">
        <f t="shared" si="0"/>
        <v>0.34690735326205546</v>
      </c>
    </row>
    <row r="56" spans="2:18" x14ac:dyDescent="0.3">
      <c r="B56" s="20" t="s">
        <v>160</v>
      </c>
      <c r="C56" s="8">
        <v>45528</v>
      </c>
      <c r="D56" s="7" t="s">
        <v>161</v>
      </c>
      <c r="E56" s="7" t="s">
        <v>76</v>
      </c>
      <c r="F56" s="7" t="s">
        <v>19</v>
      </c>
      <c r="G56" s="7">
        <v>52</v>
      </c>
      <c r="H56" s="7" t="s">
        <v>29</v>
      </c>
      <c r="I56" s="7" t="s">
        <v>21</v>
      </c>
      <c r="J56" s="7" t="s">
        <v>30</v>
      </c>
      <c r="K56" s="7" t="s">
        <v>23</v>
      </c>
      <c r="L56" s="7" t="s">
        <v>47</v>
      </c>
      <c r="M56" s="7" t="s">
        <v>25</v>
      </c>
      <c r="N56" s="7">
        <v>5</v>
      </c>
      <c r="O56" s="7">
        <v>10061</v>
      </c>
      <c r="P56" s="7">
        <v>50305</v>
      </c>
      <c r="Q56" s="9">
        <v>9422.7999999999993</v>
      </c>
      <c r="R56" s="17">
        <f t="shared" si="0"/>
        <v>0.18731338833117978</v>
      </c>
    </row>
    <row r="57" spans="2:18" x14ac:dyDescent="0.3">
      <c r="B57" s="21" t="s">
        <v>162</v>
      </c>
      <c r="C57" s="11">
        <v>45512</v>
      </c>
      <c r="D57" s="10" t="s">
        <v>163</v>
      </c>
      <c r="E57" s="10" t="s">
        <v>18</v>
      </c>
      <c r="F57" s="10" t="s">
        <v>19</v>
      </c>
      <c r="G57" s="10">
        <v>21</v>
      </c>
      <c r="H57" s="10" t="s">
        <v>38</v>
      </c>
      <c r="I57" s="10" t="s">
        <v>39</v>
      </c>
      <c r="J57" s="10" t="s">
        <v>22</v>
      </c>
      <c r="K57" s="10" t="s">
        <v>40</v>
      </c>
      <c r="L57" s="10" t="s">
        <v>32</v>
      </c>
      <c r="M57" s="10" t="s">
        <v>41</v>
      </c>
      <c r="N57" s="10">
        <v>4</v>
      </c>
      <c r="O57" s="10">
        <v>37816</v>
      </c>
      <c r="P57" s="10">
        <v>136137.60000000001</v>
      </c>
      <c r="Q57" s="12">
        <v>38361.69</v>
      </c>
      <c r="R57" s="17">
        <f t="shared" si="0"/>
        <v>0.28178614872011848</v>
      </c>
    </row>
    <row r="58" spans="2:18" x14ac:dyDescent="0.3">
      <c r="B58" s="20" t="s">
        <v>164</v>
      </c>
      <c r="C58" s="8">
        <v>45400</v>
      </c>
      <c r="D58" s="7" t="s">
        <v>165</v>
      </c>
      <c r="E58" s="7" t="s">
        <v>28</v>
      </c>
      <c r="F58" s="7" t="s">
        <v>19</v>
      </c>
      <c r="G58" s="7">
        <v>55</v>
      </c>
      <c r="H58" s="7" t="s">
        <v>45</v>
      </c>
      <c r="I58" s="7" t="s">
        <v>39</v>
      </c>
      <c r="J58" s="7" t="s">
        <v>50</v>
      </c>
      <c r="K58" s="7" t="s">
        <v>51</v>
      </c>
      <c r="L58" s="7" t="s">
        <v>32</v>
      </c>
      <c r="M58" s="7" t="s">
        <v>41</v>
      </c>
      <c r="N58" s="7">
        <v>2</v>
      </c>
      <c r="O58" s="7">
        <v>17781</v>
      </c>
      <c r="P58" s="7">
        <v>33783.9</v>
      </c>
      <c r="Q58" s="9">
        <v>5087.43</v>
      </c>
      <c r="R58" s="17">
        <f t="shared" si="0"/>
        <v>0.15058740997930967</v>
      </c>
    </row>
    <row r="59" spans="2:18" x14ac:dyDescent="0.3">
      <c r="B59" s="21" t="s">
        <v>166</v>
      </c>
      <c r="C59" s="11">
        <v>45338</v>
      </c>
      <c r="D59" s="10" t="s">
        <v>167</v>
      </c>
      <c r="E59" s="10" t="s">
        <v>18</v>
      </c>
      <c r="F59" s="10" t="s">
        <v>37</v>
      </c>
      <c r="G59" s="10">
        <v>60</v>
      </c>
      <c r="H59" s="10" t="s">
        <v>29</v>
      </c>
      <c r="I59" s="10" t="s">
        <v>46</v>
      </c>
      <c r="J59" s="10" t="s">
        <v>22</v>
      </c>
      <c r="K59" s="10" t="s">
        <v>69</v>
      </c>
      <c r="L59" s="10" t="s">
        <v>24</v>
      </c>
      <c r="M59" s="10" t="s">
        <v>25</v>
      </c>
      <c r="N59" s="10">
        <v>2</v>
      </c>
      <c r="O59" s="10">
        <v>34959</v>
      </c>
      <c r="P59" s="10">
        <v>62926.2</v>
      </c>
      <c r="Q59" s="12">
        <v>19136.34</v>
      </c>
      <c r="R59" s="17">
        <f t="shared" si="0"/>
        <v>0.30410766898366659</v>
      </c>
    </row>
    <row r="60" spans="2:18" x14ac:dyDescent="0.3">
      <c r="B60" s="20" t="s">
        <v>168</v>
      </c>
      <c r="C60" s="8">
        <v>45606</v>
      </c>
      <c r="D60" s="7" t="s">
        <v>169</v>
      </c>
      <c r="E60" s="7" t="s">
        <v>76</v>
      </c>
      <c r="F60" s="7" t="s">
        <v>19</v>
      </c>
      <c r="G60" s="7">
        <v>25</v>
      </c>
      <c r="H60" s="7" t="s">
        <v>56</v>
      </c>
      <c r="I60" s="7" t="s">
        <v>21</v>
      </c>
      <c r="J60" s="7" t="s">
        <v>30</v>
      </c>
      <c r="K60" s="7" t="s">
        <v>40</v>
      </c>
      <c r="L60" s="7" t="s">
        <v>24</v>
      </c>
      <c r="M60" s="7" t="s">
        <v>25</v>
      </c>
      <c r="N60" s="7">
        <v>5</v>
      </c>
      <c r="O60" s="7">
        <v>44898</v>
      </c>
      <c r="P60" s="7">
        <v>213265.5</v>
      </c>
      <c r="Q60" s="9">
        <v>55381.94</v>
      </c>
      <c r="R60" s="17">
        <f t="shared" si="0"/>
        <v>0.2596854155969906</v>
      </c>
    </row>
    <row r="61" spans="2:18" x14ac:dyDescent="0.3">
      <c r="B61" s="21" t="s">
        <v>170</v>
      </c>
      <c r="C61" s="11">
        <v>45633</v>
      </c>
      <c r="D61" s="10" t="s">
        <v>171</v>
      </c>
      <c r="E61" s="10" t="s">
        <v>28</v>
      </c>
      <c r="F61" s="10" t="s">
        <v>19</v>
      </c>
      <c r="G61" s="10">
        <v>42</v>
      </c>
      <c r="H61" s="10" t="s">
        <v>45</v>
      </c>
      <c r="I61" s="10" t="s">
        <v>21</v>
      </c>
      <c r="J61" s="10" t="s">
        <v>30</v>
      </c>
      <c r="K61" s="10" t="s">
        <v>51</v>
      </c>
      <c r="L61" s="10" t="s">
        <v>47</v>
      </c>
      <c r="M61" s="10" t="s">
        <v>25</v>
      </c>
      <c r="N61" s="10">
        <v>4</v>
      </c>
      <c r="O61" s="10">
        <v>8562</v>
      </c>
      <c r="P61" s="10">
        <v>30823.200000000001</v>
      </c>
      <c r="Q61" s="12">
        <v>11058.6</v>
      </c>
      <c r="R61" s="17">
        <f t="shared" si="0"/>
        <v>0.35877520828466869</v>
      </c>
    </row>
    <row r="62" spans="2:18" x14ac:dyDescent="0.3">
      <c r="B62" s="20" t="s">
        <v>172</v>
      </c>
      <c r="C62" s="8">
        <v>45547</v>
      </c>
      <c r="D62" s="7" t="s">
        <v>173</v>
      </c>
      <c r="E62" s="7" t="s">
        <v>18</v>
      </c>
      <c r="F62" s="7" t="s">
        <v>37</v>
      </c>
      <c r="G62" s="7">
        <v>20</v>
      </c>
      <c r="H62" s="7" t="s">
        <v>38</v>
      </c>
      <c r="I62" s="7" t="s">
        <v>21</v>
      </c>
      <c r="J62" s="7" t="s">
        <v>30</v>
      </c>
      <c r="K62" s="7" t="s">
        <v>40</v>
      </c>
      <c r="L62" s="7" t="s">
        <v>80</v>
      </c>
      <c r="M62" s="7" t="s">
        <v>52</v>
      </c>
      <c r="N62" s="7">
        <v>1</v>
      </c>
      <c r="O62" s="7">
        <v>47996</v>
      </c>
      <c r="P62" s="7">
        <v>40796.6</v>
      </c>
      <c r="Q62" s="9">
        <v>12574.81</v>
      </c>
      <c r="R62" s="17">
        <f t="shared" si="0"/>
        <v>0.30823181343543332</v>
      </c>
    </row>
    <row r="63" spans="2:18" x14ac:dyDescent="0.3">
      <c r="B63" s="21" t="s">
        <v>174</v>
      </c>
      <c r="C63" s="11">
        <v>45648</v>
      </c>
      <c r="D63" s="10" t="s">
        <v>175</v>
      </c>
      <c r="E63" s="10" t="s">
        <v>65</v>
      </c>
      <c r="F63" s="10" t="s">
        <v>37</v>
      </c>
      <c r="G63" s="10">
        <v>53</v>
      </c>
      <c r="H63" s="10" t="s">
        <v>20</v>
      </c>
      <c r="I63" s="10" t="s">
        <v>46</v>
      </c>
      <c r="J63" s="10" t="s">
        <v>50</v>
      </c>
      <c r="K63" s="10" t="s">
        <v>31</v>
      </c>
      <c r="L63" s="10" t="s">
        <v>60</v>
      </c>
      <c r="M63" s="10" t="s">
        <v>25</v>
      </c>
      <c r="N63" s="10">
        <v>1</v>
      </c>
      <c r="O63" s="10">
        <v>37081</v>
      </c>
      <c r="P63" s="10">
        <v>37081</v>
      </c>
      <c r="Q63" s="12">
        <v>9553.67</v>
      </c>
      <c r="R63" s="17">
        <f t="shared" si="0"/>
        <v>0.25764326744154686</v>
      </c>
    </row>
    <row r="64" spans="2:18" x14ac:dyDescent="0.3">
      <c r="B64" s="20" t="s">
        <v>176</v>
      </c>
      <c r="C64" s="8">
        <v>45604</v>
      </c>
      <c r="D64" s="7" t="s">
        <v>177</v>
      </c>
      <c r="E64" s="7" t="s">
        <v>65</v>
      </c>
      <c r="F64" s="7" t="s">
        <v>19</v>
      </c>
      <c r="G64" s="7">
        <v>35</v>
      </c>
      <c r="H64" s="7" t="s">
        <v>66</v>
      </c>
      <c r="I64" s="7" t="s">
        <v>46</v>
      </c>
      <c r="J64" s="7" t="s">
        <v>50</v>
      </c>
      <c r="K64" s="7" t="s">
        <v>40</v>
      </c>
      <c r="L64" s="7" t="s">
        <v>80</v>
      </c>
      <c r="M64" s="7" t="s">
        <v>33</v>
      </c>
      <c r="N64" s="7">
        <v>3</v>
      </c>
      <c r="O64" s="7">
        <v>5997</v>
      </c>
      <c r="P64" s="7">
        <v>16191.9</v>
      </c>
      <c r="Q64" s="9">
        <v>2582.4299999999998</v>
      </c>
      <c r="R64" s="17">
        <f t="shared" si="0"/>
        <v>0.15948900376113984</v>
      </c>
    </row>
    <row r="65" spans="2:18" x14ac:dyDescent="0.3">
      <c r="B65" s="21" t="s">
        <v>178</v>
      </c>
      <c r="C65" s="11">
        <v>45455</v>
      </c>
      <c r="D65" s="10" t="s">
        <v>179</v>
      </c>
      <c r="E65" s="10" t="s">
        <v>79</v>
      </c>
      <c r="F65" s="10" t="s">
        <v>19</v>
      </c>
      <c r="G65" s="10">
        <v>55</v>
      </c>
      <c r="H65" s="10" t="s">
        <v>66</v>
      </c>
      <c r="I65" s="10" t="s">
        <v>39</v>
      </c>
      <c r="J65" s="10" t="s">
        <v>50</v>
      </c>
      <c r="K65" s="10" t="s">
        <v>23</v>
      </c>
      <c r="L65" s="10" t="s">
        <v>60</v>
      </c>
      <c r="M65" s="10" t="s">
        <v>52</v>
      </c>
      <c r="N65" s="10">
        <v>2</v>
      </c>
      <c r="O65" s="10">
        <v>22997</v>
      </c>
      <c r="P65" s="10">
        <v>43694.3</v>
      </c>
      <c r="Q65" s="12">
        <v>12657.99</v>
      </c>
      <c r="R65" s="17">
        <f t="shared" si="0"/>
        <v>0.28969430795321127</v>
      </c>
    </row>
    <row r="66" spans="2:18" x14ac:dyDescent="0.3">
      <c r="B66" s="20" t="s">
        <v>180</v>
      </c>
      <c r="C66" s="8">
        <v>45299</v>
      </c>
      <c r="D66" s="7" t="s">
        <v>181</v>
      </c>
      <c r="E66" s="7" t="s">
        <v>79</v>
      </c>
      <c r="F66" s="7" t="s">
        <v>19</v>
      </c>
      <c r="G66" s="7">
        <v>31</v>
      </c>
      <c r="H66" s="7" t="s">
        <v>20</v>
      </c>
      <c r="I66" s="7" t="s">
        <v>46</v>
      </c>
      <c r="J66" s="7" t="s">
        <v>22</v>
      </c>
      <c r="K66" s="7" t="s">
        <v>51</v>
      </c>
      <c r="L66" s="7" t="s">
        <v>24</v>
      </c>
      <c r="M66" s="7" t="s">
        <v>33</v>
      </c>
      <c r="N66" s="7">
        <v>4</v>
      </c>
      <c r="O66" s="7">
        <v>44985</v>
      </c>
      <c r="P66" s="7">
        <v>143952</v>
      </c>
      <c r="Q66" s="9">
        <v>51936.74</v>
      </c>
      <c r="R66" s="17">
        <f t="shared" si="0"/>
        <v>0.36079206957874843</v>
      </c>
    </row>
    <row r="67" spans="2:18" x14ac:dyDescent="0.3">
      <c r="B67" s="21" t="s">
        <v>182</v>
      </c>
      <c r="C67" s="11">
        <v>45541</v>
      </c>
      <c r="D67" s="10" t="s">
        <v>183</v>
      </c>
      <c r="E67" s="10" t="s">
        <v>28</v>
      </c>
      <c r="F67" s="10" t="s">
        <v>19</v>
      </c>
      <c r="G67" s="10">
        <v>36</v>
      </c>
      <c r="H67" s="10" t="s">
        <v>38</v>
      </c>
      <c r="I67" s="10" t="s">
        <v>21</v>
      </c>
      <c r="J67" s="10" t="s">
        <v>30</v>
      </c>
      <c r="K67" s="10" t="s">
        <v>40</v>
      </c>
      <c r="L67" s="10" t="s">
        <v>32</v>
      </c>
      <c r="M67" s="10" t="s">
        <v>52</v>
      </c>
      <c r="N67" s="10">
        <v>3</v>
      </c>
      <c r="O67" s="10">
        <v>11434</v>
      </c>
      <c r="P67" s="10">
        <v>29156.7</v>
      </c>
      <c r="Q67" s="12">
        <v>6799.41</v>
      </c>
      <c r="R67" s="17">
        <f t="shared" si="0"/>
        <v>0.23320231713465514</v>
      </c>
    </row>
    <row r="68" spans="2:18" x14ac:dyDescent="0.3">
      <c r="B68" s="20" t="s">
        <v>184</v>
      </c>
      <c r="C68" s="8">
        <v>45326</v>
      </c>
      <c r="D68" s="7" t="s">
        <v>185</v>
      </c>
      <c r="E68" s="7" t="s">
        <v>76</v>
      </c>
      <c r="F68" s="7" t="s">
        <v>37</v>
      </c>
      <c r="G68" s="7">
        <v>18</v>
      </c>
      <c r="H68" s="7" t="s">
        <v>29</v>
      </c>
      <c r="I68" s="7" t="s">
        <v>39</v>
      </c>
      <c r="J68" s="7" t="s">
        <v>22</v>
      </c>
      <c r="K68" s="7" t="s">
        <v>40</v>
      </c>
      <c r="L68" s="7" t="s">
        <v>32</v>
      </c>
      <c r="M68" s="7" t="s">
        <v>33</v>
      </c>
      <c r="N68" s="7">
        <v>5</v>
      </c>
      <c r="O68" s="7">
        <v>2499</v>
      </c>
      <c r="P68" s="7">
        <v>11870.25</v>
      </c>
      <c r="Q68" s="9">
        <v>2102.87</v>
      </c>
      <c r="R68" s="17">
        <f t="shared" ref="R68:R131" si="1">Q68/P68</f>
        <v>0.1771546513342179</v>
      </c>
    </row>
    <row r="69" spans="2:18" x14ac:dyDescent="0.3">
      <c r="B69" s="21" t="s">
        <v>186</v>
      </c>
      <c r="C69" s="11">
        <v>45491</v>
      </c>
      <c r="D69" s="10" t="s">
        <v>187</v>
      </c>
      <c r="E69" s="10" t="s">
        <v>44</v>
      </c>
      <c r="F69" s="10" t="s">
        <v>37</v>
      </c>
      <c r="G69" s="10">
        <v>18</v>
      </c>
      <c r="H69" s="10" t="s">
        <v>56</v>
      </c>
      <c r="I69" s="10" t="s">
        <v>21</v>
      </c>
      <c r="J69" s="10" t="s">
        <v>50</v>
      </c>
      <c r="K69" s="10" t="s">
        <v>31</v>
      </c>
      <c r="L69" s="10" t="s">
        <v>24</v>
      </c>
      <c r="M69" s="10" t="s">
        <v>25</v>
      </c>
      <c r="N69" s="10">
        <v>1</v>
      </c>
      <c r="O69" s="10">
        <v>49692</v>
      </c>
      <c r="P69" s="10">
        <v>44722.8</v>
      </c>
      <c r="Q69" s="12">
        <v>11782.53</v>
      </c>
      <c r="R69" s="17">
        <f t="shared" si="1"/>
        <v>0.26345689446993481</v>
      </c>
    </row>
    <row r="70" spans="2:18" x14ac:dyDescent="0.3">
      <c r="B70" s="20" t="s">
        <v>188</v>
      </c>
      <c r="C70" s="8">
        <v>45567</v>
      </c>
      <c r="D70" s="7" t="s">
        <v>189</v>
      </c>
      <c r="E70" s="7" t="s">
        <v>76</v>
      </c>
      <c r="F70" s="7" t="s">
        <v>37</v>
      </c>
      <c r="G70" s="7">
        <v>40</v>
      </c>
      <c r="H70" s="7" t="s">
        <v>56</v>
      </c>
      <c r="I70" s="7" t="s">
        <v>21</v>
      </c>
      <c r="J70" s="7" t="s">
        <v>30</v>
      </c>
      <c r="K70" s="7" t="s">
        <v>40</v>
      </c>
      <c r="L70" s="7" t="s">
        <v>80</v>
      </c>
      <c r="M70" s="7" t="s">
        <v>25</v>
      </c>
      <c r="N70" s="7">
        <v>4</v>
      </c>
      <c r="O70" s="7">
        <v>26736</v>
      </c>
      <c r="P70" s="7">
        <v>85555.199999999997</v>
      </c>
      <c r="Q70" s="9">
        <v>13596.44</v>
      </c>
      <c r="R70" s="17">
        <f t="shared" si="1"/>
        <v>0.15892008901855179</v>
      </c>
    </row>
    <row r="71" spans="2:18" x14ac:dyDescent="0.3">
      <c r="B71" s="21" t="s">
        <v>190</v>
      </c>
      <c r="C71" s="11">
        <v>45522</v>
      </c>
      <c r="D71" s="10" t="s">
        <v>191</v>
      </c>
      <c r="E71" s="10" t="s">
        <v>93</v>
      </c>
      <c r="F71" s="10" t="s">
        <v>37</v>
      </c>
      <c r="G71" s="10">
        <v>20</v>
      </c>
      <c r="H71" s="10" t="s">
        <v>20</v>
      </c>
      <c r="I71" s="10" t="s">
        <v>39</v>
      </c>
      <c r="J71" s="10" t="s">
        <v>30</v>
      </c>
      <c r="K71" s="10" t="s">
        <v>69</v>
      </c>
      <c r="L71" s="10" t="s">
        <v>60</v>
      </c>
      <c r="M71" s="10" t="s">
        <v>33</v>
      </c>
      <c r="N71" s="10">
        <v>3</v>
      </c>
      <c r="O71" s="10">
        <v>37422</v>
      </c>
      <c r="P71" s="10">
        <v>106652.7</v>
      </c>
      <c r="Q71" s="12">
        <v>21057.13</v>
      </c>
      <c r="R71" s="17">
        <f t="shared" si="1"/>
        <v>0.19743644558459375</v>
      </c>
    </row>
    <row r="72" spans="2:18" x14ac:dyDescent="0.3">
      <c r="B72" s="20" t="s">
        <v>192</v>
      </c>
      <c r="C72" s="8">
        <v>45421</v>
      </c>
      <c r="D72" s="7" t="s">
        <v>193</v>
      </c>
      <c r="E72" s="7" t="s">
        <v>76</v>
      </c>
      <c r="F72" s="7" t="s">
        <v>19</v>
      </c>
      <c r="G72" s="7">
        <v>43</v>
      </c>
      <c r="H72" s="7" t="s">
        <v>20</v>
      </c>
      <c r="I72" s="7" t="s">
        <v>21</v>
      </c>
      <c r="J72" s="7" t="s">
        <v>22</v>
      </c>
      <c r="K72" s="7" t="s">
        <v>23</v>
      </c>
      <c r="L72" s="7" t="s">
        <v>24</v>
      </c>
      <c r="M72" s="7" t="s">
        <v>52</v>
      </c>
      <c r="N72" s="7">
        <v>2</v>
      </c>
      <c r="O72" s="7">
        <v>15619</v>
      </c>
      <c r="P72" s="7">
        <v>28114.2</v>
      </c>
      <c r="Q72" s="9">
        <v>7615.98</v>
      </c>
      <c r="R72" s="17">
        <f t="shared" si="1"/>
        <v>0.27089442345860809</v>
      </c>
    </row>
    <row r="73" spans="2:18" x14ac:dyDescent="0.3">
      <c r="B73" s="21" t="s">
        <v>194</v>
      </c>
      <c r="C73" s="11">
        <v>45466</v>
      </c>
      <c r="D73" s="10" t="s">
        <v>195</v>
      </c>
      <c r="E73" s="10" t="s">
        <v>44</v>
      </c>
      <c r="F73" s="10" t="s">
        <v>37</v>
      </c>
      <c r="G73" s="10">
        <v>42</v>
      </c>
      <c r="H73" s="10" t="s">
        <v>66</v>
      </c>
      <c r="I73" s="10" t="s">
        <v>21</v>
      </c>
      <c r="J73" s="10" t="s">
        <v>50</v>
      </c>
      <c r="K73" s="10" t="s">
        <v>31</v>
      </c>
      <c r="L73" s="10" t="s">
        <v>32</v>
      </c>
      <c r="M73" s="10" t="s">
        <v>25</v>
      </c>
      <c r="N73" s="10">
        <v>2</v>
      </c>
      <c r="O73" s="10">
        <v>28059</v>
      </c>
      <c r="P73" s="10">
        <v>56118</v>
      </c>
      <c r="Q73" s="12">
        <v>11407.05</v>
      </c>
      <c r="R73" s="17">
        <f t="shared" si="1"/>
        <v>0.20326900459745534</v>
      </c>
    </row>
    <row r="74" spans="2:18" x14ac:dyDescent="0.3">
      <c r="B74" s="20" t="s">
        <v>196</v>
      </c>
      <c r="C74" s="8">
        <v>45506</v>
      </c>
      <c r="D74" s="7" t="s">
        <v>197</v>
      </c>
      <c r="E74" s="7" t="s">
        <v>76</v>
      </c>
      <c r="F74" s="7" t="s">
        <v>37</v>
      </c>
      <c r="G74" s="7">
        <v>53</v>
      </c>
      <c r="H74" s="7" t="s">
        <v>20</v>
      </c>
      <c r="I74" s="7" t="s">
        <v>46</v>
      </c>
      <c r="J74" s="7" t="s">
        <v>50</v>
      </c>
      <c r="K74" s="7" t="s">
        <v>23</v>
      </c>
      <c r="L74" s="7" t="s">
        <v>80</v>
      </c>
      <c r="M74" s="7" t="s">
        <v>41</v>
      </c>
      <c r="N74" s="7">
        <v>1</v>
      </c>
      <c r="O74" s="7">
        <v>20497</v>
      </c>
      <c r="P74" s="7">
        <v>20497</v>
      </c>
      <c r="Q74" s="9">
        <v>4978.24</v>
      </c>
      <c r="R74" s="17">
        <f t="shared" si="1"/>
        <v>0.2428765185149046</v>
      </c>
    </row>
    <row r="75" spans="2:18" x14ac:dyDescent="0.3">
      <c r="B75" s="21" t="s">
        <v>198</v>
      </c>
      <c r="C75" s="11">
        <v>45439</v>
      </c>
      <c r="D75" s="10" t="s">
        <v>199</v>
      </c>
      <c r="E75" s="10" t="s">
        <v>65</v>
      </c>
      <c r="F75" s="10" t="s">
        <v>37</v>
      </c>
      <c r="G75" s="10">
        <v>35</v>
      </c>
      <c r="H75" s="10" t="s">
        <v>56</v>
      </c>
      <c r="I75" s="10" t="s">
        <v>21</v>
      </c>
      <c r="J75" s="10" t="s">
        <v>22</v>
      </c>
      <c r="K75" s="10" t="s">
        <v>23</v>
      </c>
      <c r="L75" s="10" t="s">
        <v>80</v>
      </c>
      <c r="M75" s="10" t="s">
        <v>41</v>
      </c>
      <c r="N75" s="10">
        <v>2</v>
      </c>
      <c r="O75" s="10">
        <v>17693</v>
      </c>
      <c r="P75" s="10">
        <v>28308.799999999999</v>
      </c>
      <c r="Q75" s="12">
        <v>10690.86</v>
      </c>
      <c r="R75" s="17">
        <f t="shared" si="1"/>
        <v>0.37765147233369134</v>
      </c>
    </row>
    <row r="76" spans="2:18" x14ac:dyDescent="0.3">
      <c r="B76" s="20" t="s">
        <v>200</v>
      </c>
      <c r="C76" s="8">
        <v>45610</v>
      </c>
      <c r="D76" s="7" t="s">
        <v>201</v>
      </c>
      <c r="E76" s="7" t="s">
        <v>18</v>
      </c>
      <c r="F76" s="7" t="s">
        <v>37</v>
      </c>
      <c r="G76" s="7">
        <v>59</v>
      </c>
      <c r="H76" s="7" t="s">
        <v>38</v>
      </c>
      <c r="I76" s="7" t="s">
        <v>21</v>
      </c>
      <c r="J76" s="7" t="s">
        <v>22</v>
      </c>
      <c r="K76" s="7" t="s">
        <v>40</v>
      </c>
      <c r="L76" s="7" t="s">
        <v>47</v>
      </c>
      <c r="M76" s="7" t="s">
        <v>41</v>
      </c>
      <c r="N76" s="7">
        <v>3</v>
      </c>
      <c r="O76" s="7">
        <v>8783</v>
      </c>
      <c r="P76" s="7">
        <v>23714.1</v>
      </c>
      <c r="Q76" s="9">
        <v>7779.65</v>
      </c>
      <c r="R76" s="17">
        <f t="shared" si="1"/>
        <v>0.32806009926583762</v>
      </c>
    </row>
    <row r="77" spans="2:18" x14ac:dyDescent="0.3">
      <c r="B77" s="21" t="s">
        <v>202</v>
      </c>
      <c r="C77" s="11">
        <v>45545</v>
      </c>
      <c r="D77" s="10" t="s">
        <v>203</v>
      </c>
      <c r="E77" s="10" t="s">
        <v>59</v>
      </c>
      <c r="F77" s="10" t="s">
        <v>19</v>
      </c>
      <c r="G77" s="10">
        <v>37</v>
      </c>
      <c r="H77" s="10" t="s">
        <v>20</v>
      </c>
      <c r="I77" s="10" t="s">
        <v>21</v>
      </c>
      <c r="J77" s="10" t="s">
        <v>22</v>
      </c>
      <c r="K77" s="10" t="s">
        <v>31</v>
      </c>
      <c r="L77" s="10" t="s">
        <v>80</v>
      </c>
      <c r="M77" s="10" t="s">
        <v>52</v>
      </c>
      <c r="N77" s="10">
        <v>4</v>
      </c>
      <c r="O77" s="10">
        <v>38829</v>
      </c>
      <c r="P77" s="10">
        <v>139784.4</v>
      </c>
      <c r="Q77" s="12">
        <v>22706.67</v>
      </c>
      <c r="R77" s="17">
        <f t="shared" si="1"/>
        <v>0.16244065861426596</v>
      </c>
    </row>
    <row r="78" spans="2:18" x14ac:dyDescent="0.3">
      <c r="B78" s="20" t="s">
        <v>204</v>
      </c>
      <c r="C78" s="8">
        <v>45513</v>
      </c>
      <c r="D78" s="7" t="s">
        <v>205</v>
      </c>
      <c r="E78" s="7" t="s">
        <v>59</v>
      </c>
      <c r="F78" s="7" t="s">
        <v>37</v>
      </c>
      <c r="G78" s="7">
        <v>27</v>
      </c>
      <c r="H78" s="7" t="s">
        <v>29</v>
      </c>
      <c r="I78" s="7" t="s">
        <v>21</v>
      </c>
      <c r="J78" s="7" t="s">
        <v>22</v>
      </c>
      <c r="K78" s="7" t="s">
        <v>23</v>
      </c>
      <c r="L78" s="7" t="s">
        <v>47</v>
      </c>
      <c r="M78" s="7" t="s">
        <v>33</v>
      </c>
      <c r="N78" s="7">
        <v>5</v>
      </c>
      <c r="O78" s="7">
        <v>32053</v>
      </c>
      <c r="P78" s="7">
        <v>160265</v>
      </c>
      <c r="Q78" s="9">
        <v>61934.7</v>
      </c>
      <c r="R78" s="17">
        <f t="shared" si="1"/>
        <v>0.38645181418275981</v>
      </c>
    </row>
    <row r="79" spans="2:18" x14ac:dyDescent="0.3">
      <c r="B79" s="21" t="s">
        <v>206</v>
      </c>
      <c r="C79" s="11">
        <v>45432</v>
      </c>
      <c r="D79" s="10" t="s">
        <v>207</v>
      </c>
      <c r="E79" s="10" t="s">
        <v>55</v>
      </c>
      <c r="F79" s="10" t="s">
        <v>19</v>
      </c>
      <c r="G79" s="10">
        <v>42</v>
      </c>
      <c r="H79" s="10" t="s">
        <v>20</v>
      </c>
      <c r="I79" s="10" t="s">
        <v>21</v>
      </c>
      <c r="J79" s="10" t="s">
        <v>22</v>
      </c>
      <c r="K79" s="10" t="s">
        <v>51</v>
      </c>
      <c r="L79" s="10" t="s">
        <v>80</v>
      </c>
      <c r="M79" s="10" t="s">
        <v>52</v>
      </c>
      <c r="N79" s="10">
        <v>2</v>
      </c>
      <c r="O79" s="10">
        <v>37968</v>
      </c>
      <c r="P79" s="10">
        <v>68342.399999999994</v>
      </c>
      <c r="Q79" s="12">
        <v>17847.93</v>
      </c>
      <c r="R79" s="17">
        <f t="shared" si="1"/>
        <v>0.26115456875965726</v>
      </c>
    </row>
    <row r="80" spans="2:18" x14ac:dyDescent="0.3">
      <c r="B80" s="20" t="s">
        <v>208</v>
      </c>
      <c r="C80" s="8">
        <v>45406</v>
      </c>
      <c r="D80" s="7" t="s">
        <v>209</v>
      </c>
      <c r="E80" s="7" t="s">
        <v>36</v>
      </c>
      <c r="F80" s="7" t="s">
        <v>19</v>
      </c>
      <c r="G80" s="7">
        <v>24</v>
      </c>
      <c r="H80" s="7" t="s">
        <v>38</v>
      </c>
      <c r="I80" s="7" t="s">
        <v>46</v>
      </c>
      <c r="J80" s="7" t="s">
        <v>50</v>
      </c>
      <c r="K80" s="7" t="s">
        <v>31</v>
      </c>
      <c r="L80" s="7" t="s">
        <v>60</v>
      </c>
      <c r="M80" s="7" t="s">
        <v>41</v>
      </c>
      <c r="N80" s="7">
        <v>2</v>
      </c>
      <c r="O80" s="7">
        <v>8455</v>
      </c>
      <c r="P80" s="7">
        <v>13528</v>
      </c>
      <c r="Q80" s="9">
        <v>3113.91</v>
      </c>
      <c r="R80" s="17">
        <f t="shared" si="1"/>
        <v>0.2301825842696629</v>
      </c>
    </row>
    <row r="81" spans="2:18" x14ac:dyDescent="0.3">
      <c r="B81" s="21" t="s">
        <v>210</v>
      </c>
      <c r="C81" s="11">
        <v>45502</v>
      </c>
      <c r="D81" s="10" t="s">
        <v>211</v>
      </c>
      <c r="E81" s="10" t="s">
        <v>59</v>
      </c>
      <c r="F81" s="10" t="s">
        <v>37</v>
      </c>
      <c r="G81" s="10">
        <v>36</v>
      </c>
      <c r="H81" s="10" t="s">
        <v>45</v>
      </c>
      <c r="I81" s="10" t="s">
        <v>46</v>
      </c>
      <c r="J81" s="10" t="s">
        <v>22</v>
      </c>
      <c r="K81" s="10" t="s">
        <v>31</v>
      </c>
      <c r="L81" s="10" t="s">
        <v>24</v>
      </c>
      <c r="M81" s="10" t="s">
        <v>41</v>
      </c>
      <c r="N81" s="10">
        <v>1</v>
      </c>
      <c r="O81" s="10">
        <v>44054</v>
      </c>
      <c r="P81" s="10">
        <v>37445.9</v>
      </c>
      <c r="Q81" s="12">
        <v>12098.3</v>
      </c>
      <c r="R81" s="17">
        <f t="shared" si="1"/>
        <v>0.32308744081461521</v>
      </c>
    </row>
    <row r="82" spans="2:18" x14ac:dyDescent="0.3">
      <c r="B82" s="20" t="s">
        <v>212</v>
      </c>
      <c r="C82" s="8">
        <v>45491</v>
      </c>
      <c r="D82" s="7" t="s">
        <v>213</v>
      </c>
      <c r="E82" s="7" t="s">
        <v>36</v>
      </c>
      <c r="F82" s="7" t="s">
        <v>19</v>
      </c>
      <c r="G82" s="7">
        <v>43</v>
      </c>
      <c r="H82" s="7" t="s">
        <v>45</v>
      </c>
      <c r="I82" s="7" t="s">
        <v>39</v>
      </c>
      <c r="J82" s="7" t="s">
        <v>22</v>
      </c>
      <c r="K82" s="7" t="s">
        <v>51</v>
      </c>
      <c r="L82" s="7" t="s">
        <v>60</v>
      </c>
      <c r="M82" s="7" t="s">
        <v>41</v>
      </c>
      <c r="N82" s="7">
        <v>4</v>
      </c>
      <c r="O82" s="7">
        <v>36271</v>
      </c>
      <c r="P82" s="7">
        <v>116067.2</v>
      </c>
      <c r="Q82" s="9">
        <v>25549.29</v>
      </c>
      <c r="R82" s="17">
        <f t="shared" si="1"/>
        <v>0.22012497932232364</v>
      </c>
    </row>
    <row r="83" spans="2:18" x14ac:dyDescent="0.3">
      <c r="B83" s="21" t="s">
        <v>214</v>
      </c>
      <c r="C83" s="11">
        <v>45593</v>
      </c>
      <c r="D83" s="10" t="s">
        <v>215</v>
      </c>
      <c r="E83" s="10" t="s">
        <v>65</v>
      </c>
      <c r="F83" s="10" t="s">
        <v>37</v>
      </c>
      <c r="G83" s="10">
        <v>39</v>
      </c>
      <c r="H83" s="10" t="s">
        <v>66</v>
      </c>
      <c r="I83" s="10" t="s">
        <v>21</v>
      </c>
      <c r="J83" s="10" t="s">
        <v>30</v>
      </c>
      <c r="K83" s="10" t="s">
        <v>23</v>
      </c>
      <c r="L83" s="10" t="s">
        <v>80</v>
      </c>
      <c r="M83" s="10" t="s">
        <v>25</v>
      </c>
      <c r="N83" s="10">
        <v>5</v>
      </c>
      <c r="O83" s="10">
        <v>24251</v>
      </c>
      <c r="P83" s="10">
        <v>103066.75</v>
      </c>
      <c r="Q83" s="12">
        <v>37835.5</v>
      </c>
      <c r="R83" s="17">
        <f t="shared" si="1"/>
        <v>0.36709705118284996</v>
      </c>
    </row>
    <row r="84" spans="2:18" x14ac:dyDescent="0.3">
      <c r="B84" s="20" t="s">
        <v>216</v>
      </c>
      <c r="C84" s="8">
        <v>45432</v>
      </c>
      <c r="D84" s="7" t="s">
        <v>217</v>
      </c>
      <c r="E84" s="7" t="s">
        <v>65</v>
      </c>
      <c r="F84" s="7" t="s">
        <v>19</v>
      </c>
      <c r="G84" s="7">
        <v>60</v>
      </c>
      <c r="H84" s="7" t="s">
        <v>45</v>
      </c>
      <c r="I84" s="7" t="s">
        <v>21</v>
      </c>
      <c r="J84" s="7" t="s">
        <v>22</v>
      </c>
      <c r="K84" s="7" t="s">
        <v>40</v>
      </c>
      <c r="L84" s="7" t="s">
        <v>47</v>
      </c>
      <c r="M84" s="7" t="s">
        <v>52</v>
      </c>
      <c r="N84" s="7">
        <v>1</v>
      </c>
      <c r="O84" s="7">
        <v>14176</v>
      </c>
      <c r="P84" s="7">
        <v>14176</v>
      </c>
      <c r="Q84" s="9">
        <v>5087.21</v>
      </c>
      <c r="R84" s="17">
        <f t="shared" si="1"/>
        <v>0.35886075056433409</v>
      </c>
    </row>
    <row r="85" spans="2:18" x14ac:dyDescent="0.3">
      <c r="B85" s="21" t="s">
        <v>218</v>
      </c>
      <c r="C85" s="11">
        <v>45307</v>
      </c>
      <c r="D85" s="10" t="s">
        <v>219</v>
      </c>
      <c r="E85" s="10" t="s">
        <v>18</v>
      </c>
      <c r="F85" s="10" t="s">
        <v>19</v>
      </c>
      <c r="G85" s="10">
        <v>36</v>
      </c>
      <c r="H85" s="10" t="s">
        <v>20</v>
      </c>
      <c r="I85" s="10" t="s">
        <v>21</v>
      </c>
      <c r="J85" s="10" t="s">
        <v>50</v>
      </c>
      <c r="K85" s="10" t="s">
        <v>69</v>
      </c>
      <c r="L85" s="10" t="s">
        <v>47</v>
      </c>
      <c r="M85" s="10" t="s">
        <v>41</v>
      </c>
      <c r="N85" s="10">
        <v>5</v>
      </c>
      <c r="O85" s="10">
        <v>38946</v>
      </c>
      <c r="P85" s="10">
        <v>175257</v>
      </c>
      <c r="Q85" s="12">
        <v>66241.440000000002</v>
      </c>
      <c r="R85" s="17">
        <f t="shared" si="1"/>
        <v>0.37796744209931704</v>
      </c>
    </row>
    <row r="86" spans="2:18" x14ac:dyDescent="0.3">
      <c r="B86" s="20" t="s">
        <v>220</v>
      </c>
      <c r="C86" s="8">
        <v>45456</v>
      </c>
      <c r="D86" s="7" t="s">
        <v>221</v>
      </c>
      <c r="E86" s="7" t="s">
        <v>76</v>
      </c>
      <c r="F86" s="7" t="s">
        <v>19</v>
      </c>
      <c r="G86" s="7">
        <v>60</v>
      </c>
      <c r="H86" s="7" t="s">
        <v>20</v>
      </c>
      <c r="I86" s="7" t="s">
        <v>21</v>
      </c>
      <c r="J86" s="7" t="s">
        <v>22</v>
      </c>
      <c r="K86" s="7" t="s">
        <v>69</v>
      </c>
      <c r="L86" s="7" t="s">
        <v>32</v>
      </c>
      <c r="M86" s="7" t="s">
        <v>33</v>
      </c>
      <c r="N86" s="7">
        <v>1</v>
      </c>
      <c r="O86" s="7">
        <v>43528</v>
      </c>
      <c r="P86" s="7">
        <v>43528</v>
      </c>
      <c r="Q86" s="9">
        <v>12033.15</v>
      </c>
      <c r="R86" s="17">
        <f t="shared" si="1"/>
        <v>0.27644619555228817</v>
      </c>
    </row>
    <row r="87" spans="2:18" x14ac:dyDescent="0.3">
      <c r="B87" s="21" t="s">
        <v>222</v>
      </c>
      <c r="C87" s="11">
        <v>45643</v>
      </c>
      <c r="D87" s="10" t="s">
        <v>223</v>
      </c>
      <c r="E87" s="10" t="s">
        <v>79</v>
      </c>
      <c r="F87" s="10" t="s">
        <v>19</v>
      </c>
      <c r="G87" s="10">
        <v>31</v>
      </c>
      <c r="H87" s="10" t="s">
        <v>20</v>
      </c>
      <c r="I87" s="10" t="s">
        <v>46</v>
      </c>
      <c r="J87" s="10" t="s">
        <v>30</v>
      </c>
      <c r="K87" s="10" t="s">
        <v>40</v>
      </c>
      <c r="L87" s="10" t="s">
        <v>32</v>
      </c>
      <c r="M87" s="10" t="s">
        <v>52</v>
      </c>
      <c r="N87" s="10">
        <v>5</v>
      </c>
      <c r="O87" s="10">
        <v>13432</v>
      </c>
      <c r="P87" s="10">
        <v>57086</v>
      </c>
      <c r="Q87" s="12">
        <v>10482.790000000001</v>
      </c>
      <c r="R87" s="17">
        <f t="shared" si="1"/>
        <v>0.1836315383806888</v>
      </c>
    </row>
    <row r="88" spans="2:18" x14ac:dyDescent="0.3">
      <c r="B88" s="20" t="s">
        <v>224</v>
      </c>
      <c r="C88" s="8">
        <v>45626</v>
      </c>
      <c r="D88" s="7" t="s">
        <v>225</v>
      </c>
      <c r="E88" s="7" t="s">
        <v>18</v>
      </c>
      <c r="F88" s="7" t="s">
        <v>37</v>
      </c>
      <c r="G88" s="7">
        <v>27</v>
      </c>
      <c r="H88" s="7" t="s">
        <v>38</v>
      </c>
      <c r="I88" s="7" t="s">
        <v>39</v>
      </c>
      <c r="J88" s="7" t="s">
        <v>50</v>
      </c>
      <c r="K88" s="7" t="s">
        <v>31</v>
      </c>
      <c r="L88" s="7" t="s">
        <v>80</v>
      </c>
      <c r="M88" s="7" t="s">
        <v>52</v>
      </c>
      <c r="N88" s="7">
        <v>1</v>
      </c>
      <c r="O88" s="7">
        <v>39310</v>
      </c>
      <c r="P88" s="7">
        <v>37344.5</v>
      </c>
      <c r="Q88" s="9">
        <v>14832.59</v>
      </c>
      <c r="R88" s="17">
        <f t="shared" si="1"/>
        <v>0.39718271766926855</v>
      </c>
    </row>
    <row r="89" spans="2:18" x14ac:dyDescent="0.3">
      <c r="B89" s="21" t="s">
        <v>226</v>
      </c>
      <c r="C89" s="11">
        <v>45508</v>
      </c>
      <c r="D89" s="10" t="s">
        <v>227</v>
      </c>
      <c r="E89" s="10" t="s">
        <v>93</v>
      </c>
      <c r="F89" s="10" t="s">
        <v>19</v>
      </c>
      <c r="G89" s="10">
        <v>27</v>
      </c>
      <c r="H89" s="10" t="s">
        <v>56</v>
      </c>
      <c r="I89" s="10" t="s">
        <v>39</v>
      </c>
      <c r="J89" s="10" t="s">
        <v>50</v>
      </c>
      <c r="K89" s="10" t="s">
        <v>31</v>
      </c>
      <c r="L89" s="10" t="s">
        <v>60</v>
      </c>
      <c r="M89" s="10" t="s">
        <v>33</v>
      </c>
      <c r="N89" s="10">
        <v>3</v>
      </c>
      <c r="O89" s="10">
        <v>34190</v>
      </c>
      <c r="P89" s="10">
        <v>82056</v>
      </c>
      <c r="Q89" s="12">
        <v>20046.060000000001</v>
      </c>
      <c r="R89" s="17">
        <f t="shared" si="1"/>
        <v>0.24429730915472361</v>
      </c>
    </row>
    <row r="90" spans="2:18" x14ac:dyDescent="0.3">
      <c r="B90" s="20" t="s">
        <v>228</v>
      </c>
      <c r="C90" s="8">
        <v>45475</v>
      </c>
      <c r="D90" s="7" t="s">
        <v>229</v>
      </c>
      <c r="E90" s="7" t="s">
        <v>55</v>
      </c>
      <c r="F90" s="7" t="s">
        <v>37</v>
      </c>
      <c r="G90" s="7">
        <v>21</v>
      </c>
      <c r="H90" s="7" t="s">
        <v>66</v>
      </c>
      <c r="I90" s="7" t="s">
        <v>21</v>
      </c>
      <c r="J90" s="7" t="s">
        <v>50</v>
      </c>
      <c r="K90" s="7" t="s">
        <v>31</v>
      </c>
      <c r="L90" s="7" t="s">
        <v>60</v>
      </c>
      <c r="M90" s="7" t="s">
        <v>33</v>
      </c>
      <c r="N90" s="7">
        <v>3</v>
      </c>
      <c r="O90" s="7">
        <v>8105</v>
      </c>
      <c r="P90" s="7">
        <v>24315</v>
      </c>
      <c r="Q90" s="9">
        <v>9377.0499999999993</v>
      </c>
      <c r="R90" s="17">
        <f t="shared" si="1"/>
        <v>0.38564877647542667</v>
      </c>
    </row>
    <row r="91" spans="2:18" x14ac:dyDescent="0.3">
      <c r="B91" s="21" t="s">
        <v>230</v>
      </c>
      <c r="C91" s="11">
        <v>45390</v>
      </c>
      <c r="D91" s="10" t="s">
        <v>231</v>
      </c>
      <c r="E91" s="10" t="s">
        <v>55</v>
      </c>
      <c r="F91" s="10" t="s">
        <v>37</v>
      </c>
      <c r="G91" s="10">
        <v>23</v>
      </c>
      <c r="H91" s="10" t="s">
        <v>56</v>
      </c>
      <c r="I91" s="10" t="s">
        <v>46</v>
      </c>
      <c r="J91" s="10" t="s">
        <v>30</v>
      </c>
      <c r="K91" s="10" t="s">
        <v>23</v>
      </c>
      <c r="L91" s="10" t="s">
        <v>32</v>
      </c>
      <c r="M91" s="10" t="s">
        <v>41</v>
      </c>
      <c r="N91" s="10">
        <v>3</v>
      </c>
      <c r="O91" s="10">
        <v>22480</v>
      </c>
      <c r="P91" s="10">
        <v>64068</v>
      </c>
      <c r="Q91" s="12">
        <v>14076.47</v>
      </c>
      <c r="R91" s="17">
        <f t="shared" si="1"/>
        <v>0.2197114003870887</v>
      </c>
    </row>
    <row r="92" spans="2:18" x14ac:dyDescent="0.3">
      <c r="B92" s="20" t="s">
        <v>232</v>
      </c>
      <c r="C92" s="8">
        <v>45345</v>
      </c>
      <c r="D92" s="7" t="s">
        <v>233</v>
      </c>
      <c r="E92" s="7" t="s">
        <v>55</v>
      </c>
      <c r="F92" s="7" t="s">
        <v>19</v>
      </c>
      <c r="G92" s="7">
        <v>53</v>
      </c>
      <c r="H92" s="7" t="s">
        <v>38</v>
      </c>
      <c r="I92" s="7" t="s">
        <v>39</v>
      </c>
      <c r="J92" s="7" t="s">
        <v>22</v>
      </c>
      <c r="K92" s="7" t="s">
        <v>69</v>
      </c>
      <c r="L92" s="7" t="s">
        <v>80</v>
      </c>
      <c r="M92" s="7" t="s">
        <v>52</v>
      </c>
      <c r="N92" s="7">
        <v>2</v>
      </c>
      <c r="O92" s="7">
        <v>36928</v>
      </c>
      <c r="P92" s="7">
        <v>59084.800000000003</v>
      </c>
      <c r="Q92" s="9">
        <v>14346.14</v>
      </c>
      <c r="R92" s="17">
        <f t="shared" si="1"/>
        <v>0.24280593316724436</v>
      </c>
    </row>
    <row r="93" spans="2:18" x14ac:dyDescent="0.3">
      <c r="B93" s="21" t="s">
        <v>234</v>
      </c>
      <c r="C93" s="11">
        <v>45454</v>
      </c>
      <c r="D93" s="10" t="s">
        <v>235</v>
      </c>
      <c r="E93" s="10" t="s">
        <v>65</v>
      </c>
      <c r="F93" s="10" t="s">
        <v>37</v>
      </c>
      <c r="G93" s="10">
        <v>25</v>
      </c>
      <c r="H93" s="10" t="s">
        <v>56</v>
      </c>
      <c r="I93" s="10" t="s">
        <v>21</v>
      </c>
      <c r="J93" s="10" t="s">
        <v>30</v>
      </c>
      <c r="K93" s="10" t="s">
        <v>31</v>
      </c>
      <c r="L93" s="10" t="s">
        <v>32</v>
      </c>
      <c r="M93" s="10" t="s">
        <v>41</v>
      </c>
      <c r="N93" s="10">
        <v>4</v>
      </c>
      <c r="O93" s="10">
        <v>49169</v>
      </c>
      <c r="P93" s="10">
        <v>186842.2</v>
      </c>
      <c r="Q93" s="12">
        <v>38308.79</v>
      </c>
      <c r="R93" s="17">
        <f t="shared" si="1"/>
        <v>0.20503285660305862</v>
      </c>
    </row>
    <row r="94" spans="2:18" x14ac:dyDescent="0.3">
      <c r="B94" s="20" t="s">
        <v>236</v>
      </c>
      <c r="C94" s="8">
        <v>45573</v>
      </c>
      <c r="D94" s="7" t="s">
        <v>237</v>
      </c>
      <c r="E94" s="7" t="s">
        <v>55</v>
      </c>
      <c r="F94" s="7" t="s">
        <v>19</v>
      </c>
      <c r="G94" s="7">
        <v>41</v>
      </c>
      <c r="H94" s="7" t="s">
        <v>38</v>
      </c>
      <c r="I94" s="7" t="s">
        <v>39</v>
      </c>
      <c r="J94" s="7" t="s">
        <v>30</v>
      </c>
      <c r="K94" s="7" t="s">
        <v>69</v>
      </c>
      <c r="L94" s="7" t="s">
        <v>32</v>
      </c>
      <c r="M94" s="7" t="s">
        <v>52</v>
      </c>
      <c r="N94" s="7">
        <v>4</v>
      </c>
      <c r="O94" s="7">
        <v>22015</v>
      </c>
      <c r="P94" s="7">
        <v>74851</v>
      </c>
      <c r="Q94" s="9">
        <v>18114.43</v>
      </c>
      <c r="R94" s="17">
        <f t="shared" si="1"/>
        <v>0.24200651961897637</v>
      </c>
    </row>
    <row r="95" spans="2:18" x14ac:dyDescent="0.3">
      <c r="B95" s="21" t="s">
        <v>238</v>
      </c>
      <c r="C95" s="11">
        <v>45649</v>
      </c>
      <c r="D95" s="10" t="s">
        <v>239</v>
      </c>
      <c r="E95" s="10" t="s">
        <v>18</v>
      </c>
      <c r="F95" s="10" t="s">
        <v>37</v>
      </c>
      <c r="G95" s="10">
        <v>20</v>
      </c>
      <c r="H95" s="10" t="s">
        <v>20</v>
      </c>
      <c r="I95" s="10" t="s">
        <v>21</v>
      </c>
      <c r="J95" s="10" t="s">
        <v>50</v>
      </c>
      <c r="K95" s="10" t="s">
        <v>23</v>
      </c>
      <c r="L95" s="10" t="s">
        <v>80</v>
      </c>
      <c r="M95" s="10" t="s">
        <v>41</v>
      </c>
      <c r="N95" s="10">
        <v>2</v>
      </c>
      <c r="O95" s="10">
        <v>8133</v>
      </c>
      <c r="P95" s="10">
        <v>14639.4</v>
      </c>
      <c r="Q95" s="12">
        <v>3741.16</v>
      </c>
      <c r="R95" s="17">
        <f t="shared" si="1"/>
        <v>0.25555418937934615</v>
      </c>
    </row>
    <row r="96" spans="2:18" x14ac:dyDescent="0.3">
      <c r="B96" s="20" t="s">
        <v>240</v>
      </c>
      <c r="C96" s="8">
        <v>45433</v>
      </c>
      <c r="D96" s="7" t="s">
        <v>241</v>
      </c>
      <c r="E96" s="7" t="s">
        <v>65</v>
      </c>
      <c r="F96" s="7" t="s">
        <v>19</v>
      </c>
      <c r="G96" s="7">
        <v>39</v>
      </c>
      <c r="H96" s="7" t="s">
        <v>38</v>
      </c>
      <c r="I96" s="7" t="s">
        <v>21</v>
      </c>
      <c r="J96" s="7" t="s">
        <v>30</v>
      </c>
      <c r="K96" s="7" t="s">
        <v>69</v>
      </c>
      <c r="L96" s="7" t="s">
        <v>24</v>
      </c>
      <c r="M96" s="7" t="s">
        <v>25</v>
      </c>
      <c r="N96" s="7">
        <v>1</v>
      </c>
      <c r="O96" s="7">
        <v>9633</v>
      </c>
      <c r="P96" s="7">
        <v>7706.4</v>
      </c>
      <c r="Q96" s="9">
        <v>2563.7600000000002</v>
      </c>
      <c r="R96" s="17">
        <f t="shared" si="1"/>
        <v>0.33267933146475659</v>
      </c>
    </row>
    <row r="97" spans="2:18" x14ac:dyDescent="0.3">
      <c r="B97" s="21" t="s">
        <v>242</v>
      </c>
      <c r="C97" s="11">
        <v>45564</v>
      </c>
      <c r="D97" s="10" t="s">
        <v>243</v>
      </c>
      <c r="E97" s="10" t="s">
        <v>36</v>
      </c>
      <c r="F97" s="10" t="s">
        <v>37</v>
      </c>
      <c r="G97" s="10">
        <v>47</v>
      </c>
      <c r="H97" s="10" t="s">
        <v>56</v>
      </c>
      <c r="I97" s="10" t="s">
        <v>46</v>
      </c>
      <c r="J97" s="10" t="s">
        <v>50</v>
      </c>
      <c r="K97" s="10" t="s">
        <v>23</v>
      </c>
      <c r="L97" s="10" t="s">
        <v>32</v>
      </c>
      <c r="M97" s="10" t="s">
        <v>33</v>
      </c>
      <c r="N97" s="10">
        <v>3</v>
      </c>
      <c r="O97" s="10">
        <v>3708</v>
      </c>
      <c r="P97" s="10">
        <v>10567.8</v>
      </c>
      <c r="Q97" s="12">
        <v>2317.58</v>
      </c>
      <c r="R97" s="17">
        <f t="shared" si="1"/>
        <v>0.21930581578001099</v>
      </c>
    </row>
    <row r="98" spans="2:18" x14ac:dyDescent="0.3">
      <c r="B98" s="20" t="s">
        <v>244</v>
      </c>
      <c r="C98" s="8">
        <v>45459</v>
      </c>
      <c r="D98" s="7" t="s">
        <v>245</v>
      </c>
      <c r="E98" s="7" t="s">
        <v>28</v>
      </c>
      <c r="F98" s="7" t="s">
        <v>37</v>
      </c>
      <c r="G98" s="7">
        <v>56</v>
      </c>
      <c r="H98" s="7" t="s">
        <v>45</v>
      </c>
      <c r="I98" s="7" t="s">
        <v>39</v>
      </c>
      <c r="J98" s="7" t="s">
        <v>30</v>
      </c>
      <c r="K98" s="7" t="s">
        <v>51</v>
      </c>
      <c r="L98" s="7" t="s">
        <v>32</v>
      </c>
      <c r="M98" s="7" t="s">
        <v>52</v>
      </c>
      <c r="N98" s="7">
        <v>5</v>
      </c>
      <c r="O98" s="7">
        <v>29654</v>
      </c>
      <c r="P98" s="7">
        <v>126029.5</v>
      </c>
      <c r="Q98" s="9">
        <v>50398.53</v>
      </c>
      <c r="R98" s="17">
        <f t="shared" si="1"/>
        <v>0.39989470719157022</v>
      </c>
    </row>
    <row r="99" spans="2:18" x14ac:dyDescent="0.3">
      <c r="B99" s="21" t="s">
        <v>246</v>
      </c>
      <c r="C99" s="11">
        <v>45304</v>
      </c>
      <c r="D99" s="10" t="s">
        <v>247</v>
      </c>
      <c r="E99" s="10" t="s">
        <v>93</v>
      </c>
      <c r="F99" s="10" t="s">
        <v>37</v>
      </c>
      <c r="G99" s="10">
        <v>20</v>
      </c>
      <c r="H99" s="10" t="s">
        <v>20</v>
      </c>
      <c r="I99" s="10" t="s">
        <v>21</v>
      </c>
      <c r="J99" s="10" t="s">
        <v>30</v>
      </c>
      <c r="K99" s="10" t="s">
        <v>69</v>
      </c>
      <c r="L99" s="10" t="s">
        <v>32</v>
      </c>
      <c r="M99" s="10" t="s">
        <v>25</v>
      </c>
      <c r="N99" s="10">
        <v>1</v>
      </c>
      <c r="O99" s="10">
        <v>11542</v>
      </c>
      <c r="P99" s="10">
        <v>9810.7000000000007</v>
      </c>
      <c r="Q99" s="12">
        <v>3647.77</v>
      </c>
      <c r="R99" s="17">
        <f t="shared" si="1"/>
        <v>0.37181546678626393</v>
      </c>
    </row>
    <row r="100" spans="2:18" x14ac:dyDescent="0.3">
      <c r="B100" s="20" t="s">
        <v>248</v>
      </c>
      <c r="C100" s="8">
        <v>45336</v>
      </c>
      <c r="D100" s="7" t="s">
        <v>249</v>
      </c>
      <c r="E100" s="7" t="s">
        <v>65</v>
      </c>
      <c r="F100" s="7" t="s">
        <v>37</v>
      </c>
      <c r="G100" s="7">
        <v>26</v>
      </c>
      <c r="H100" s="7" t="s">
        <v>56</v>
      </c>
      <c r="I100" s="7" t="s">
        <v>21</v>
      </c>
      <c r="J100" s="7" t="s">
        <v>22</v>
      </c>
      <c r="K100" s="7" t="s">
        <v>40</v>
      </c>
      <c r="L100" s="7" t="s">
        <v>24</v>
      </c>
      <c r="M100" s="7" t="s">
        <v>33</v>
      </c>
      <c r="N100" s="7">
        <v>3</v>
      </c>
      <c r="O100" s="7">
        <v>39499</v>
      </c>
      <c r="P100" s="7">
        <v>106647.3</v>
      </c>
      <c r="Q100" s="9">
        <v>29891.91</v>
      </c>
      <c r="R100" s="17">
        <f t="shared" si="1"/>
        <v>0.28028754595756289</v>
      </c>
    </row>
    <row r="101" spans="2:18" x14ac:dyDescent="0.3">
      <c r="B101" s="21" t="s">
        <v>250</v>
      </c>
      <c r="C101" s="11">
        <v>45445</v>
      </c>
      <c r="D101" s="10" t="s">
        <v>251</v>
      </c>
      <c r="E101" s="10" t="s">
        <v>65</v>
      </c>
      <c r="F101" s="10" t="s">
        <v>37</v>
      </c>
      <c r="G101" s="10">
        <v>35</v>
      </c>
      <c r="H101" s="10" t="s">
        <v>45</v>
      </c>
      <c r="I101" s="10" t="s">
        <v>21</v>
      </c>
      <c r="J101" s="10" t="s">
        <v>22</v>
      </c>
      <c r="K101" s="10" t="s">
        <v>51</v>
      </c>
      <c r="L101" s="10" t="s">
        <v>47</v>
      </c>
      <c r="M101" s="10" t="s">
        <v>25</v>
      </c>
      <c r="N101" s="10">
        <v>1</v>
      </c>
      <c r="O101" s="10">
        <v>16617</v>
      </c>
      <c r="P101" s="10">
        <v>15786.15</v>
      </c>
      <c r="Q101" s="12">
        <v>3241.87</v>
      </c>
      <c r="R101" s="17">
        <f t="shared" si="1"/>
        <v>0.20536166196317657</v>
      </c>
    </row>
    <row r="102" spans="2:18" x14ac:dyDescent="0.3">
      <c r="B102" s="20" t="s">
        <v>252</v>
      </c>
      <c r="C102" s="8">
        <v>45335</v>
      </c>
      <c r="D102" s="7" t="s">
        <v>253</v>
      </c>
      <c r="E102" s="7" t="s">
        <v>18</v>
      </c>
      <c r="F102" s="7" t="s">
        <v>37</v>
      </c>
      <c r="G102" s="7">
        <v>52</v>
      </c>
      <c r="H102" s="7" t="s">
        <v>29</v>
      </c>
      <c r="I102" s="7" t="s">
        <v>21</v>
      </c>
      <c r="J102" s="7" t="s">
        <v>22</v>
      </c>
      <c r="K102" s="7" t="s">
        <v>51</v>
      </c>
      <c r="L102" s="7" t="s">
        <v>47</v>
      </c>
      <c r="M102" s="7" t="s">
        <v>25</v>
      </c>
      <c r="N102" s="7">
        <v>4</v>
      </c>
      <c r="O102" s="7">
        <v>48508</v>
      </c>
      <c r="P102" s="7">
        <v>174628.8</v>
      </c>
      <c r="Q102" s="9">
        <v>56540.53</v>
      </c>
      <c r="R102" s="17">
        <f t="shared" si="1"/>
        <v>0.32377551698230761</v>
      </c>
    </row>
    <row r="103" spans="2:18" x14ac:dyDescent="0.3">
      <c r="B103" s="21" t="s">
        <v>254</v>
      </c>
      <c r="C103" s="11">
        <v>45601</v>
      </c>
      <c r="D103" s="10" t="s">
        <v>255</v>
      </c>
      <c r="E103" s="10" t="s">
        <v>76</v>
      </c>
      <c r="F103" s="10" t="s">
        <v>19</v>
      </c>
      <c r="G103" s="10">
        <v>41</v>
      </c>
      <c r="H103" s="10" t="s">
        <v>20</v>
      </c>
      <c r="I103" s="10" t="s">
        <v>39</v>
      </c>
      <c r="J103" s="10" t="s">
        <v>22</v>
      </c>
      <c r="K103" s="10" t="s">
        <v>23</v>
      </c>
      <c r="L103" s="10" t="s">
        <v>60</v>
      </c>
      <c r="M103" s="10" t="s">
        <v>41</v>
      </c>
      <c r="N103" s="10">
        <v>4</v>
      </c>
      <c r="O103" s="10">
        <v>44149</v>
      </c>
      <c r="P103" s="10">
        <v>158936.4</v>
      </c>
      <c r="Q103" s="12">
        <v>52214.89</v>
      </c>
      <c r="R103" s="17">
        <f t="shared" si="1"/>
        <v>0.32852694536934274</v>
      </c>
    </row>
    <row r="104" spans="2:18" x14ac:dyDescent="0.3">
      <c r="B104" s="20" t="s">
        <v>256</v>
      </c>
      <c r="C104" s="8">
        <v>45479</v>
      </c>
      <c r="D104" s="7" t="s">
        <v>257</v>
      </c>
      <c r="E104" s="7" t="s">
        <v>18</v>
      </c>
      <c r="F104" s="7" t="s">
        <v>19</v>
      </c>
      <c r="G104" s="7">
        <v>46</v>
      </c>
      <c r="H104" s="7" t="s">
        <v>20</v>
      </c>
      <c r="I104" s="7" t="s">
        <v>46</v>
      </c>
      <c r="J104" s="7" t="s">
        <v>50</v>
      </c>
      <c r="K104" s="7" t="s">
        <v>40</v>
      </c>
      <c r="L104" s="7" t="s">
        <v>60</v>
      </c>
      <c r="M104" s="7" t="s">
        <v>52</v>
      </c>
      <c r="N104" s="7">
        <v>4</v>
      </c>
      <c r="O104" s="7">
        <v>6679</v>
      </c>
      <c r="P104" s="7">
        <v>22708.6</v>
      </c>
      <c r="Q104" s="9">
        <v>5224.13</v>
      </c>
      <c r="R104" s="17">
        <f t="shared" si="1"/>
        <v>0.23005072967950471</v>
      </c>
    </row>
    <row r="105" spans="2:18" x14ac:dyDescent="0.3">
      <c r="B105" s="21" t="s">
        <v>258</v>
      </c>
      <c r="C105" s="11">
        <v>45348</v>
      </c>
      <c r="D105" s="10" t="s">
        <v>259</v>
      </c>
      <c r="E105" s="10" t="s">
        <v>44</v>
      </c>
      <c r="F105" s="10" t="s">
        <v>37</v>
      </c>
      <c r="G105" s="10">
        <v>60</v>
      </c>
      <c r="H105" s="10" t="s">
        <v>29</v>
      </c>
      <c r="I105" s="10" t="s">
        <v>46</v>
      </c>
      <c r="J105" s="10" t="s">
        <v>30</v>
      </c>
      <c r="K105" s="10" t="s">
        <v>51</v>
      </c>
      <c r="L105" s="10" t="s">
        <v>80</v>
      </c>
      <c r="M105" s="10" t="s">
        <v>25</v>
      </c>
      <c r="N105" s="10">
        <v>1</v>
      </c>
      <c r="O105" s="10">
        <v>42360</v>
      </c>
      <c r="P105" s="10">
        <v>38124</v>
      </c>
      <c r="Q105" s="12">
        <v>6995.67</v>
      </c>
      <c r="R105" s="17">
        <f t="shared" si="1"/>
        <v>0.18349779666351904</v>
      </c>
    </row>
    <row r="106" spans="2:18" x14ac:dyDescent="0.3">
      <c r="B106" s="20" t="s">
        <v>260</v>
      </c>
      <c r="C106" s="8">
        <v>45583</v>
      </c>
      <c r="D106" s="7" t="s">
        <v>261</v>
      </c>
      <c r="E106" s="7" t="s">
        <v>93</v>
      </c>
      <c r="F106" s="7" t="s">
        <v>37</v>
      </c>
      <c r="G106" s="7">
        <v>28</v>
      </c>
      <c r="H106" s="7" t="s">
        <v>38</v>
      </c>
      <c r="I106" s="7" t="s">
        <v>21</v>
      </c>
      <c r="J106" s="7" t="s">
        <v>50</v>
      </c>
      <c r="K106" s="7" t="s">
        <v>23</v>
      </c>
      <c r="L106" s="7" t="s">
        <v>32</v>
      </c>
      <c r="M106" s="7" t="s">
        <v>25</v>
      </c>
      <c r="N106" s="7">
        <v>4</v>
      </c>
      <c r="O106" s="7">
        <v>4948</v>
      </c>
      <c r="P106" s="7">
        <v>15833.6</v>
      </c>
      <c r="Q106" s="9">
        <v>3492.5</v>
      </c>
      <c r="R106" s="17">
        <f t="shared" si="1"/>
        <v>0.22057523241713822</v>
      </c>
    </row>
    <row r="107" spans="2:18" x14ac:dyDescent="0.3">
      <c r="B107" s="21" t="s">
        <v>262</v>
      </c>
      <c r="C107" s="11">
        <v>45514</v>
      </c>
      <c r="D107" s="10" t="s">
        <v>263</v>
      </c>
      <c r="E107" s="10" t="s">
        <v>65</v>
      </c>
      <c r="F107" s="10" t="s">
        <v>19</v>
      </c>
      <c r="G107" s="10">
        <v>31</v>
      </c>
      <c r="H107" s="10" t="s">
        <v>20</v>
      </c>
      <c r="I107" s="10" t="s">
        <v>46</v>
      </c>
      <c r="J107" s="10" t="s">
        <v>30</v>
      </c>
      <c r="K107" s="10" t="s">
        <v>69</v>
      </c>
      <c r="L107" s="10" t="s">
        <v>60</v>
      </c>
      <c r="M107" s="10" t="s">
        <v>52</v>
      </c>
      <c r="N107" s="10">
        <v>5</v>
      </c>
      <c r="O107" s="10">
        <v>21592</v>
      </c>
      <c r="P107" s="10">
        <v>102562</v>
      </c>
      <c r="Q107" s="12">
        <v>35432.03</v>
      </c>
      <c r="R107" s="17">
        <f t="shared" si="1"/>
        <v>0.34546937462217975</v>
      </c>
    </row>
    <row r="108" spans="2:18" x14ac:dyDescent="0.3">
      <c r="B108" s="20" t="s">
        <v>264</v>
      </c>
      <c r="C108" s="8">
        <v>45488</v>
      </c>
      <c r="D108" s="7" t="s">
        <v>265</v>
      </c>
      <c r="E108" s="7" t="s">
        <v>76</v>
      </c>
      <c r="F108" s="7" t="s">
        <v>19</v>
      </c>
      <c r="G108" s="7">
        <v>48</v>
      </c>
      <c r="H108" s="7" t="s">
        <v>38</v>
      </c>
      <c r="I108" s="7" t="s">
        <v>21</v>
      </c>
      <c r="J108" s="7" t="s">
        <v>30</v>
      </c>
      <c r="K108" s="7" t="s">
        <v>31</v>
      </c>
      <c r="L108" s="7" t="s">
        <v>32</v>
      </c>
      <c r="M108" s="7" t="s">
        <v>52</v>
      </c>
      <c r="N108" s="7">
        <v>5</v>
      </c>
      <c r="O108" s="7">
        <v>20186</v>
      </c>
      <c r="P108" s="7">
        <v>90837</v>
      </c>
      <c r="Q108" s="9">
        <v>17703.27</v>
      </c>
      <c r="R108" s="17">
        <f t="shared" si="1"/>
        <v>0.19489051818091746</v>
      </c>
    </row>
    <row r="109" spans="2:18" x14ac:dyDescent="0.3">
      <c r="B109" s="21" t="s">
        <v>266</v>
      </c>
      <c r="C109" s="11">
        <v>45528</v>
      </c>
      <c r="D109" s="10" t="s">
        <v>267</v>
      </c>
      <c r="E109" s="10" t="s">
        <v>65</v>
      </c>
      <c r="F109" s="10" t="s">
        <v>37</v>
      </c>
      <c r="G109" s="10">
        <v>52</v>
      </c>
      <c r="H109" s="10" t="s">
        <v>38</v>
      </c>
      <c r="I109" s="10" t="s">
        <v>21</v>
      </c>
      <c r="J109" s="10" t="s">
        <v>50</v>
      </c>
      <c r="K109" s="10" t="s">
        <v>40</v>
      </c>
      <c r="L109" s="10" t="s">
        <v>24</v>
      </c>
      <c r="M109" s="10" t="s">
        <v>52</v>
      </c>
      <c r="N109" s="10">
        <v>2</v>
      </c>
      <c r="O109" s="10">
        <v>24592</v>
      </c>
      <c r="P109" s="10">
        <v>39347.199999999997</v>
      </c>
      <c r="Q109" s="12">
        <v>9310.25</v>
      </c>
      <c r="R109" s="17">
        <f t="shared" si="1"/>
        <v>0.23661785336694863</v>
      </c>
    </row>
    <row r="110" spans="2:18" x14ac:dyDescent="0.3">
      <c r="B110" s="20" t="s">
        <v>268</v>
      </c>
      <c r="C110" s="8">
        <v>45572</v>
      </c>
      <c r="D110" s="7" t="s">
        <v>269</v>
      </c>
      <c r="E110" s="7" t="s">
        <v>79</v>
      </c>
      <c r="F110" s="7" t="s">
        <v>19</v>
      </c>
      <c r="G110" s="7">
        <v>27</v>
      </c>
      <c r="H110" s="7" t="s">
        <v>66</v>
      </c>
      <c r="I110" s="7" t="s">
        <v>21</v>
      </c>
      <c r="J110" s="7" t="s">
        <v>30</v>
      </c>
      <c r="K110" s="7" t="s">
        <v>40</v>
      </c>
      <c r="L110" s="7" t="s">
        <v>32</v>
      </c>
      <c r="M110" s="7" t="s">
        <v>33</v>
      </c>
      <c r="N110" s="7">
        <v>4</v>
      </c>
      <c r="O110" s="7">
        <v>46157</v>
      </c>
      <c r="P110" s="7">
        <v>166165.20000000001</v>
      </c>
      <c r="Q110" s="9">
        <v>38543.99</v>
      </c>
      <c r="R110" s="17">
        <f t="shared" si="1"/>
        <v>0.23196186686502346</v>
      </c>
    </row>
    <row r="111" spans="2:18" x14ac:dyDescent="0.3">
      <c r="B111" s="21" t="s">
        <v>270</v>
      </c>
      <c r="C111" s="11">
        <v>45313</v>
      </c>
      <c r="D111" s="10" t="s">
        <v>271</v>
      </c>
      <c r="E111" s="10" t="s">
        <v>65</v>
      </c>
      <c r="F111" s="10" t="s">
        <v>19</v>
      </c>
      <c r="G111" s="10">
        <v>24</v>
      </c>
      <c r="H111" s="10" t="s">
        <v>45</v>
      </c>
      <c r="I111" s="10" t="s">
        <v>46</v>
      </c>
      <c r="J111" s="10" t="s">
        <v>50</v>
      </c>
      <c r="K111" s="10" t="s">
        <v>23</v>
      </c>
      <c r="L111" s="10" t="s">
        <v>24</v>
      </c>
      <c r="M111" s="10" t="s">
        <v>25</v>
      </c>
      <c r="N111" s="10">
        <v>5</v>
      </c>
      <c r="O111" s="10">
        <v>43400</v>
      </c>
      <c r="P111" s="10">
        <v>184450</v>
      </c>
      <c r="Q111" s="12">
        <v>28526.37</v>
      </c>
      <c r="R111" s="17">
        <f t="shared" si="1"/>
        <v>0.15465638384386013</v>
      </c>
    </row>
    <row r="112" spans="2:18" x14ac:dyDescent="0.3">
      <c r="B112" s="20" t="s">
        <v>272</v>
      </c>
      <c r="C112" s="8">
        <v>45378</v>
      </c>
      <c r="D112" s="7" t="s">
        <v>273</v>
      </c>
      <c r="E112" s="7" t="s">
        <v>93</v>
      </c>
      <c r="F112" s="7" t="s">
        <v>37</v>
      </c>
      <c r="G112" s="7">
        <v>31</v>
      </c>
      <c r="H112" s="7" t="s">
        <v>20</v>
      </c>
      <c r="I112" s="7" t="s">
        <v>21</v>
      </c>
      <c r="J112" s="7" t="s">
        <v>22</v>
      </c>
      <c r="K112" s="7" t="s">
        <v>51</v>
      </c>
      <c r="L112" s="7" t="s">
        <v>80</v>
      </c>
      <c r="M112" s="7" t="s">
        <v>41</v>
      </c>
      <c r="N112" s="7">
        <v>1</v>
      </c>
      <c r="O112" s="7">
        <v>17795</v>
      </c>
      <c r="P112" s="7">
        <v>14236</v>
      </c>
      <c r="Q112" s="9">
        <v>3933.24</v>
      </c>
      <c r="R112" s="17">
        <f t="shared" si="1"/>
        <v>0.27628828322562515</v>
      </c>
    </row>
    <row r="113" spans="2:18" x14ac:dyDescent="0.3">
      <c r="B113" s="21" t="s">
        <v>274</v>
      </c>
      <c r="C113" s="11">
        <v>45583</v>
      </c>
      <c r="D113" s="10" t="s">
        <v>275</v>
      </c>
      <c r="E113" s="10" t="s">
        <v>79</v>
      </c>
      <c r="F113" s="10" t="s">
        <v>37</v>
      </c>
      <c r="G113" s="10">
        <v>39</v>
      </c>
      <c r="H113" s="10" t="s">
        <v>45</v>
      </c>
      <c r="I113" s="10" t="s">
        <v>21</v>
      </c>
      <c r="J113" s="10" t="s">
        <v>22</v>
      </c>
      <c r="K113" s="10" t="s">
        <v>51</v>
      </c>
      <c r="L113" s="10" t="s">
        <v>32</v>
      </c>
      <c r="M113" s="10" t="s">
        <v>52</v>
      </c>
      <c r="N113" s="10">
        <v>5</v>
      </c>
      <c r="O113" s="10">
        <v>41936</v>
      </c>
      <c r="P113" s="10">
        <v>178228</v>
      </c>
      <c r="Q113" s="12">
        <v>44421.97</v>
      </c>
      <c r="R113" s="17">
        <f t="shared" si="1"/>
        <v>0.24924237493547591</v>
      </c>
    </row>
    <row r="114" spans="2:18" x14ac:dyDescent="0.3">
      <c r="B114" s="20" t="s">
        <v>276</v>
      </c>
      <c r="C114" s="8">
        <v>45403</v>
      </c>
      <c r="D114" s="7" t="s">
        <v>277</v>
      </c>
      <c r="E114" s="7" t="s">
        <v>76</v>
      </c>
      <c r="F114" s="7" t="s">
        <v>37</v>
      </c>
      <c r="G114" s="7">
        <v>45</v>
      </c>
      <c r="H114" s="7" t="s">
        <v>56</v>
      </c>
      <c r="I114" s="7" t="s">
        <v>21</v>
      </c>
      <c r="J114" s="7" t="s">
        <v>30</v>
      </c>
      <c r="K114" s="7" t="s">
        <v>31</v>
      </c>
      <c r="L114" s="7" t="s">
        <v>32</v>
      </c>
      <c r="M114" s="7" t="s">
        <v>41</v>
      </c>
      <c r="N114" s="7">
        <v>3</v>
      </c>
      <c r="O114" s="7">
        <v>16296</v>
      </c>
      <c r="P114" s="7">
        <v>41554.800000000003</v>
      </c>
      <c r="Q114" s="9">
        <v>13790.12</v>
      </c>
      <c r="R114" s="17">
        <f t="shared" si="1"/>
        <v>0.33185384119283451</v>
      </c>
    </row>
    <row r="115" spans="2:18" x14ac:dyDescent="0.3">
      <c r="B115" s="21" t="s">
        <v>278</v>
      </c>
      <c r="C115" s="11">
        <v>45293</v>
      </c>
      <c r="D115" s="10" t="s">
        <v>279</v>
      </c>
      <c r="E115" s="10" t="s">
        <v>55</v>
      </c>
      <c r="F115" s="10" t="s">
        <v>19</v>
      </c>
      <c r="G115" s="10">
        <v>42</v>
      </c>
      <c r="H115" s="10" t="s">
        <v>66</v>
      </c>
      <c r="I115" s="10" t="s">
        <v>21</v>
      </c>
      <c r="J115" s="10" t="s">
        <v>50</v>
      </c>
      <c r="K115" s="10" t="s">
        <v>69</v>
      </c>
      <c r="L115" s="10" t="s">
        <v>47</v>
      </c>
      <c r="M115" s="10" t="s">
        <v>25</v>
      </c>
      <c r="N115" s="10">
        <v>2</v>
      </c>
      <c r="O115" s="10">
        <v>33242</v>
      </c>
      <c r="P115" s="10">
        <v>53187.199999999997</v>
      </c>
      <c r="Q115" s="12">
        <v>13698.21</v>
      </c>
      <c r="R115" s="17">
        <f t="shared" si="1"/>
        <v>0.2575471165994826</v>
      </c>
    </row>
    <row r="116" spans="2:18" x14ac:dyDescent="0.3">
      <c r="B116" s="20" t="s">
        <v>280</v>
      </c>
      <c r="C116" s="8">
        <v>45537</v>
      </c>
      <c r="D116" s="7" t="s">
        <v>281</v>
      </c>
      <c r="E116" s="7" t="s">
        <v>93</v>
      </c>
      <c r="F116" s="7" t="s">
        <v>37</v>
      </c>
      <c r="G116" s="7">
        <v>38</v>
      </c>
      <c r="H116" s="7" t="s">
        <v>56</v>
      </c>
      <c r="I116" s="7" t="s">
        <v>21</v>
      </c>
      <c r="J116" s="7" t="s">
        <v>22</v>
      </c>
      <c r="K116" s="7" t="s">
        <v>23</v>
      </c>
      <c r="L116" s="7" t="s">
        <v>47</v>
      </c>
      <c r="M116" s="7" t="s">
        <v>52</v>
      </c>
      <c r="N116" s="7">
        <v>1</v>
      </c>
      <c r="O116" s="7">
        <v>48332</v>
      </c>
      <c r="P116" s="7">
        <v>41082.199999999997</v>
      </c>
      <c r="Q116" s="9">
        <v>12163.4</v>
      </c>
      <c r="R116" s="17">
        <f t="shared" si="1"/>
        <v>0.29607469901806621</v>
      </c>
    </row>
    <row r="117" spans="2:18" x14ac:dyDescent="0.3">
      <c r="B117" s="21" t="s">
        <v>282</v>
      </c>
      <c r="C117" s="11">
        <v>45499</v>
      </c>
      <c r="D117" s="10" t="s">
        <v>283</v>
      </c>
      <c r="E117" s="10" t="s">
        <v>76</v>
      </c>
      <c r="F117" s="10" t="s">
        <v>19</v>
      </c>
      <c r="G117" s="10">
        <v>18</v>
      </c>
      <c r="H117" s="10" t="s">
        <v>56</v>
      </c>
      <c r="I117" s="10" t="s">
        <v>21</v>
      </c>
      <c r="J117" s="10" t="s">
        <v>22</v>
      </c>
      <c r="K117" s="10" t="s">
        <v>51</v>
      </c>
      <c r="L117" s="10" t="s">
        <v>47</v>
      </c>
      <c r="M117" s="10" t="s">
        <v>41</v>
      </c>
      <c r="N117" s="10">
        <v>4</v>
      </c>
      <c r="O117" s="10">
        <v>27132</v>
      </c>
      <c r="P117" s="10">
        <v>108528</v>
      </c>
      <c r="Q117" s="12">
        <v>29113.23</v>
      </c>
      <c r="R117" s="17">
        <f t="shared" si="1"/>
        <v>0.26825547324192833</v>
      </c>
    </row>
    <row r="118" spans="2:18" x14ac:dyDescent="0.3">
      <c r="B118" s="20" t="s">
        <v>284</v>
      </c>
      <c r="C118" s="8">
        <v>45399</v>
      </c>
      <c r="D118" s="7" t="s">
        <v>285</v>
      </c>
      <c r="E118" s="7" t="s">
        <v>44</v>
      </c>
      <c r="F118" s="7" t="s">
        <v>37</v>
      </c>
      <c r="G118" s="7">
        <v>22</v>
      </c>
      <c r="H118" s="7" t="s">
        <v>56</v>
      </c>
      <c r="I118" s="7" t="s">
        <v>46</v>
      </c>
      <c r="J118" s="7" t="s">
        <v>22</v>
      </c>
      <c r="K118" s="7" t="s">
        <v>51</v>
      </c>
      <c r="L118" s="7" t="s">
        <v>32</v>
      </c>
      <c r="M118" s="7" t="s">
        <v>25</v>
      </c>
      <c r="N118" s="7">
        <v>3</v>
      </c>
      <c r="O118" s="7">
        <v>27369</v>
      </c>
      <c r="P118" s="7">
        <v>73896.3</v>
      </c>
      <c r="Q118" s="9">
        <v>15443.52</v>
      </c>
      <c r="R118" s="17">
        <f t="shared" si="1"/>
        <v>0.20898908335058725</v>
      </c>
    </row>
    <row r="119" spans="2:18" x14ac:dyDescent="0.3">
      <c r="B119" s="21" t="s">
        <v>286</v>
      </c>
      <c r="C119" s="11">
        <v>45352</v>
      </c>
      <c r="D119" s="10" t="s">
        <v>287</v>
      </c>
      <c r="E119" s="10" t="s">
        <v>36</v>
      </c>
      <c r="F119" s="10" t="s">
        <v>37</v>
      </c>
      <c r="G119" s="10">
        <v>59</v>
      </c>
      <c r="H119" s="10" t="s">
        <v>29</v>
      </c>
      <c r="I119" s="10" t="s">
        <v>46</v>
      </c>
      <c r="J119" s="10" t="s">
        <v>50</v>
      </c>
      <c r="K119" s="10" t="s">
        <v>69</v>
      </c>
      <c r="L119" s="10" t="s">
        <v>80</v>
      </c>
      <c r="M119" s="10" t="s">
        <v>25</v>
      </c>
      <c r="N119" s="10">
        <v>4</v>
      </c>
      <c r="O119" s="10">
        <v>14764</v>
      </c>
      <c r="P119" s="10">
        <v>50197.599999999999</v>
      </c>
      <c r="Q119" s="12">
        <v>17868.82</v>
      </c>
      <c r="R119" s="17">
        <f t="shared" si="1"/>
        <v>0.35596960810875422</v>
      </c>
    </row>
    <row r="120" spans="2:18" x14ac:dyDescent="0.3">
      <c r="B120" s="20" t="s">
        <v>288</v>
      </c>
      <c r="C120" s="8">
        <v>45538</v>
      </c>
      <c r="D120" s="7" t="s">
        <v>289</v>
      </c>
      <c r="E120" s="7" t="s">
        <v>59</v>
      </c>
      <c r="F120" s="7" t="s">
        <v>37</v>
      </c>
      <c r="G120" s="7">
        <v>48</v>
      </c>
      <c r="H120" s="7" t="s">
        <v>45</v>
      </c>
      <c r="I120" s="7" t="s">
        <v>21</v>
      </c>
      <c r="J120" s="7" t="s">
        <v>50</v>
      </c>
      <c r="K120" s="7" t="s">
        <v>51</v>
      </c>
      <c r="L120" s="7" t="s">
        <v>47</v>
      </c>
      <c r="M120" s="7" t="s">
        <v>41</v>
      </c>
      <c r="N120" s="7">
        <v>3</v>
      </c>
      <c r="O120" s="7">
        <v>14371</v>
      </c>
      <c r="P120" s="7">
        <v>43113</v>
      </c>
      <c r="Q120" s="9">
        <v>11903.55</v>
      </c>
      <c r="R120" s="17">
        <f t="shared" si="1"/>
        <v>0.27610117597940292</v>
      </c>
    </row>
    <row r="121" spans="2:18" x14ac:dyDescent="0.3">
      <c r="B121" s="21" t="s">
        <v>290</v>
      </c>
      <c r="C121" s="11">
        <v>45524</v>
      </c>
      <c r="D121" s="10" t="s">
        <v>291</v>
      </c>
      <c r="E121" s="10" t="s">
        <v>65</v>
      </c>
      <c r="F121" s="10" t="s">
        <v>19</v>
      </c>
      <c r="G121" s="10">
        <v>40</v>
      </c>
      <c r="H121" s="10" t="s">
        <v>56</v>
      </c>
      <c r="I121" s="10" t="s">
        <v>21</v>
      </c>
      <c r="J121" s="10" t="s">
        <v>22</v>
      </c>
      <c r="K121" s="10" t="s">
        <v>40</v>
      </c>
      <c r="L121" s="10" t="s">
        <v>80</v>
      </c>
      <c r="M121" s="10" t="s">
        <v>25</v>
      </c>
      <c r="N121" s="10">
        <v>1</v>
      </c>
      <c r="O121" s="10">
        <v>2182</v>
      </c>
      <c r="P121" s="10">
        <v>1745.6</v>
      </c>
      <c r="Q121" s="12">
        <v>623.5</v>
      </c>
      <c r="R121" s="17">
        <f t="shared" si="1"/>
        <v>0.35718377635197068</v>
      </c>
    </row>
    <row r="122" spans="2:18" x14ac:dyDescent="0.3">
      <c r="B122" s="20" t="s">
        <v>292</v>
      </c>
      <c r="C122" s="8">
        <v>45653</v>
      </c>
      <c r="D122" s="7" t="s">
        <v>293</v>
      </c>
      <c r="E122" s="7" t="s">
        <v>18</v>
      </c>
      <c r="F122" s="7" t="s">
        <v>19</v>
      </c>
      <c r="G122" s="7">
        <v>60</v>
      </c>
      <c r="H122" s="7" t="s">
        <v>29</v>
      </c>
      <c r="I122" s="7" t="s">
        <v>21</v>
      </c>
      <c r="J122" s="7" t="s">
        <v>22</v>
      </c>
      <c r="K122" s="7" t="s">
        <v>31</v>
      </c>
      <c r="L122" s="7" t="s">
        <v>32</v>
      </c>
      <c r="M122" s="7" t="s">
        <v>52</v>
      </c>
      <c r="N122" s="7">
        <v>5</v>
      </c>
      <c r="O122" s="7">
        <v>11372</v>
      </c>
      <c r="P122" s="7">
        <v>45488</v>
      </c>
      <c r="Q122" s="9">
        <v>7522.4</v>
      </c>
      <c r="R122" s="17">
        <f t="shared" si="1"/>
        <v>0.16537108688005628</v>
      </c>
    </row>
    <row r="123" spans="2:18" x14ac:dyDescent="0.3">
      <c r="B123" s="21" t="s">
        <v>294</v>
      </c>
      <c r="C123" s="11">
        <v>45447</v>
      </c>
      <c r="D123" s="10" t="s">
        <v>295</v>
      </c>
      <c r="E123" s="10" t="s">
        <v>28</v>
      </c>
      <c r="F123" s="10" t="s">
        <v>19</v>
      </c>
      <c r="G123" s="10">
        <v>55</v>
      </c>
      <c r="H123" s="10" t="s">
        <v>20</v>
      </c>
      <c r="I123" s="10" t="s">
        <v>39</v>
      </c>
      <c r="J123" s="10" t="s">
        <v>50</v>
      </c>
      <c r="K123" s="10" t="s">
        <v>51</v>
      </c>
      <c r="L123" s="10" t="s">
        <v>24</v>
      </c>
      <c r="M123" s="10" t="s">
        <v>52</v>
      </c>
      <c r="N123" s="10">
        <v>2</v>
      </c>
      <c r="O123" s="10">
        <v>9054</v>
      </c>
      <c r="P123" s="10">
        <v>17202.599999999999</v>
      </c>
      <c r="Q123" s="12">
        <v>2963.51</v>
      </c>
      <c r="R123" s="17">
        <f t="shared" si="1"/>
        <v>0.17227105205027149</v>
      </c>
    </row>
    <row r="124" spans="2:18" x14ac:dyDescent="0.3">
      <c r="B124" s="20" t="s">
        <v>296</v>
      </c>
      <c r="C124" s="8">
        <v>45514</v>
      </c>
      <c r="D124" s="7" t="s">
        <v>297</v>
      </c>
      <c r="E124" s="7" t="s">
        <v>93</v>
      </c>
      <c r="F124" s="7" t="s">
        <v>37</v>
      </c>
      <c r="G124" s="7">
        <v>43</v>
      </c>
      <c r="H124" s="7" t="s">
        <v>45</v>
      </c>
      <c r="I124" s="7" t="s">
        <v>21</v>
      </c>
      <c r="J124" s="7" t="s">
        <v>30</v>
      </c>
      <c r="K124" s="7" t="s">
        <v>51</v>
      </c>
      <c r="L124" s="7" t="s">
        <v>32</v>
      </c>
      <c r="M124" s="7" t="s">
        <v>52</v>
      </c>
      <c r="N124" s="7">
        <v>4</v>
      </c>
      <c r="O124" s="7">
        <v>7080</v>
      </c>
      <c r="P124" s="7">
        <v>22656</v>
      </c>
      <c r="Q124" s="9">
        <v>6298.52</v>
      </c>
      <c r="R124" s="17">
        <f t="shared" si="1"/>
        <v>0.27800670903954805</v>
      </c>
    </row>
    <row r="125" spans="2:18" x14ac:dyDescent="0.3">
      <c r="B125" s="21" t="s">
        <v>298</v>
      </c>
      <c r="C125" s="11">
        <v>45496</v>
      </c>
      <c r="D125" s="10" t="s">
        <v>299</v>
      </c>
      <c r="E125" s="10" t="s">
        <v>36</v>
      </c>
      <c r="F125" s="10" t="s">
        <v>37</v>
      </c>
      <c r="G125" s="10">
        <v>47</v>
      </c>
      <c r="H125" s="10" t="s">
        <v>20</v>
      </c>
      <c r="I125" s="10" t="s">
        <v>21</v>
      </c>
      <c r="J125" s="10" t="s">
        <v>22</v>
      </c>
      <c r="K125" s="10" t="s">
        <v>31</v>
      </c>
      <c r="L125" s="10" t="s">
        <v>80</v>
      </c>
      <c r="M125" s="10" t="s">
        <v>25</v>
      </c>
      <c r="N125" s="10">
        <v>3</v>
      </c>
      <c r="O125" s="10">
        <v>16144</v>
      </c>
      <c r="P125" s="10">
        <v>48432</v>
      </c>
      <c r="Q125" s="12">
        <v>15002.16</v>
      </c>
      <c r="R125" s="17">
        <f t="shared" si="1"/>
        <v>0.30975718533201191</v>
      </c>
    </row>
    <row r="126" spans="2:18" x14ac:dyDescent="0.3">
      <c r="B126" s="20" t="s">
        <v>300</v>
      </c>
      <c r="C126" s="8">
        <v>45323</v>
      </c>
      <c r="D126" s="7" t="s">
        <v>301</v>
      </c>
      <c r="E126" s="7" t="s">
        <v>28</v>
      </c>
      <c r="F126" s="7" t="s">
        <v>37</v>
      </c>
      <c r="G126" s="7">
        <v>50</v>
      </c>
      <c r="H126" s="7" t="s">
        <v>66</v>
      </c>
      <c r="I126" s="7" t="s">
        <v>39</v>
      </c>
      <c r="J126" s="7" t="s">
        <v>50</v>
      </c>
      <c r="K126" s="7" t="s">
        <v>51</v>
      </c>
      <c r="L126" s="7" t="s">
        <v>60</v>
      </c>
      <c r="M126" s="7" t="s">
        <v>33</v>
      </c>
      <c r="N126" s="7">
        <v>5</v>
      </c>
      <c r="O126" s="7">
        <v>26058</v>
      </c>
      <c r="P126" s="7">
        <v>117261</v>
      </c>
      <c r="Q126" s="9">
        <v>42288.92</v>
      </c>
      <c r="R126" s="17">
        <f t="shared" si="1"/>
        <v>0.36063925772422201</v>
      </c>
    </row>
    <row r="127" spans="2:18" x14ac:dyDescent="0.3">
      <c r="B127" s="21" t="s">
        <v>302</v>
      </c>
      <c r="C127" s="11">
        <v>45492</v>
      </c>
      <c r="D127" s="10" t="s">
        <v>303</v>
      </c>
      <c r="E127" s="10" t="s">
        <v>65</v>
      </c>
      <c r="F127" s="10" t="s">
        <v>37</v>
      </c>
      <c r="G127" s="10">
        <v>30</v>
      </c>
      <c r="H127" s="10" t="s">
        <v>20</v>
      </c>
      <c r="I127" s="10" t="s">
        <v>21</v>
      </c>
      <c r="J127" s="10" t="s">
        <v>30</v>
      </c>
      <c r="K127" s="10" t="s">
        <v>40</v>
      </c>
      <c r="L127" s="10" t="s">
        <v>32</v>
      </c>
      <c r="M127" s="10" t="s">
        <v>33</v>
      </c>
      <c r="N127" s="10">
        <v>2</v>
      </c>
      <c r="O127" s="10">
        <v>36116</v>
      </c>
      <c r="P127" s="10">
        <v>57785.599999999999</v>
      </c>
      <c r="Q127" s="12">
        <v>11184.58</v>
      </c>
      <c r="R127" s="17">
        <f t="shared" si="1"/>
        <v>0.19355306512349096</v>
      </c>
    </row>
    <row r="128" spans="2:18" x14ac:dyDescent="0.3">
      <c r="B128" s="20" t="s">
        <v>304</v>
      </c>
      <c r="C128" s="8">
        <v>45346</v>
      </c>
      <c r="D128" s="7" t="s">
        <v>305</v>
      </c>
      <c r="E128" s="7" t="s">
        <v>28</v>
      </c>
      <c r="F128" s="7" t="s">
        <v>37</v>
      </c>
      <c r="G128" s="7">
        <v>20</v>
      </c>
      <c r="H128" s="7" t="s">
        <v>20</v>
      </c>
      <c r="I128" s="7" t="s">
        <v>21</v>
      </c>
      <c r="J128" s="7" t="s">
        <v>22</v>
      </c>
      <c r="K128" s="7" t="s">
        <v>51</v>
      </c>
      <c r="L128" s="7" t="s">
        <v>32</v>
      </c>
      <c r="M128" s="7" t="s">
        <v>25</v>
      </c>
      <c r="N128" s="7">
        <v>1</v>
      </c>
      <c r="O128" s="7">
        <v>28334</v>
      </c>
      <c r="P128" s="7">
        <v>22667.200000000001</v>
      </c>
      <c r="Q128" s="9">
        <v>3978.79</v>
      </c>
      <c r="R128" s="17">
        <f t="shared" si="1"/>
        <v>0.17553072280652218</v>
      </c>
    </row>
    <row r="129" spans="2:18" x14ac:dyDescent="0.3">
      <c r="B129" s="21" t="s">
        <v>306</v>
      </c>
      <c r="C129" s="11">
        <v>45330</v>
      </c>
      <c r="D129" s="10" t="s">
        <v>307</v>
      </c>
      <c r="E129" s="10" t="s">
        <v>65</v>
      </c>
      <c r="F129" s="10" t="s">
        <v>19</v>
      </c>
      <c r="G129" s="10">
        <v>55</v>
      </c>
      <c r="H129" s="10" t="s">
        <v>56</v>
      </c>
      <c r="I129" s="10" t="s">
        <v>21</v>
      </c>
      <c r="J129" s="10" t="s">
        <v>22</v>
      </c>
      <c r="K129" s="10" t="s">
        <v>23</v>
      </c>
      <c r="L129" s="10" t="s">
        <v>24</v>
      </c>
      <c r="M129" s="10" t="s">
        <v>25</v>
      </c>
      <c r="N129" s="10">
        <v>1</v>
      </c>
      <c r="O129" s="10">
        <v>4285</v>
      </c>
      <c r="P129" s="10">
        <v>3642.25</v>
      </c>
      <c r="Q129" s="12">
        <v>755.32</v>
      </c>
      <c r="R129" s="17">
        <f t="shared" si="1"/>
        <v>0.20737730798270301</v>
      </c>
    </row>
    <row r="130" spans="2:18" x14ac:dyDescent="0.3">
      <c r="B130" s="20" t="s">
        <v>308</v>
      </c>
      <c r="C130" s="8">
        <v>45604</v>
      </c>
      <c r="D130" s="7" t="s">
        <v>309</v>
      </c>
      <c r="E130" s="7" t="s">
        <v>65</v>
      </c>
      <c r="F130" s="7" t="s">
        <v>37</v>
      </c>
      <c r="G130" s="7">
        <v>58</v>
      </c>
      <c r="H130" s="7" t="s">
        <v>29</v>
      </c>
      <c r="I130" s="7" t="s">
        <v>39</v>
      </c>
      <c r="J130" s="7" t="s">
        <v>50</v>
      </c>
      <c r="K130" s="7" t="s">
        <v>23</v>
      </c>
      <c r="L130" s="7" t="s">
        <v>47</v>
      </c>
      <c r="M130" s="7" t="s">
        <v>52</v>
      </c>
      <c r="N130" s="7">
        <v>1</v>
      </c>
      <c r="O130" s="7">
        <v>23033</v>
      </c>
      <c r="P130" s="7">
        <v>19578.05</v>
      </c>
      <c r="Q130" s="9">
        <v>4381.6499999999996</v>
      </c>
      <c r="R130" s="17">
        <f t="shared" si="1"/>
        <v>0.22380420930582973</v>
      </c>
    </row>
    <row r="131" spans="2:18" x14ac:dyDescent="0.3">
      <c r="B131" s="21" t="s">
        <v>310</v>
      </c>
      <c r="C131" s="11">
        <v>45352</v>
      </c>
      <c r="D131" s="10" t="s">
        <v>311</v>
      </c>
      <c r="E131" s="10" t="s">
        <v>76</v>
      </c>
      <c r="F131" s="10" t="s">
        <v>37</v>
      </c>
      <c r="G131" s="10">
        <v>43</v>
      </c>
      <c r="H131" s="10" t="s">
        <v>66</v>
      </c>
      <c r="I131" s="10" t="s">
        <v>21</v>
      </c>
      <c r="J131" s="10" t="s">
        <v>50</v>
      </c>
      <c r="K131" s="10" t="s">
        <v>40</v>
      </c>
      <c r="L131" s="10" t="s">
        <v>32</v>
      </c>
      <c r="M131" s="10" t="s">
        <v>33</v>
      </c>
      <c r="N131" s="10">
        <v>2</v>
      </c>
      <c r="O131" s="10">
        <v>31211</v>
      </c>
      <c r="P131" s="10">
        <v>56179.8</v>
      </c>
      <c r="Q131" s="12">
        <v>12676.82</v>
      </c>
      <c r="R131" s="17">
        <f t="shared" si="1"/>
        <v>0.22564729671518943</v>
      </c>
    </row>
    <row r="132" spans="2:18" x14ac:dyDescent="0.3">
      <c r="B132" s="20" t="s">
        <v>312</v>
      </c>
      <c r="C132" s="8">
        <v>45400</v>
      </c>
      <c r="D132" s="7" t="s">
        <v>313</v>
      </c>
      <c r="E132" s="7" t="s">
        <v>28</v>
      </c>
      <c r="F132" s="7" t="s">
        <v>19</v>
      </c>
      <c r="G132" s="7">
        <v>60</v>
      </c>
      <c r="H132" s="7" t="s">
        <v>38</v>
      </c>
      <c r="I132" s="7" t="s">
        <v>21</v>
      </c>
      <c r="J132" s="7" t="s">
        <v>22</v>
      </c>
      <c r="K132" s="7" t="s">
        <v>31</v>
      </c>
      <c r="L132" s="7" t="s">
        <v>24</v>
      </c>
      <c r="M132" s="7" t="s">
        <v>41</v>
      </c>
      <c r="N132" s="7">
        <v>3</v>
      </c>
      <c r="O132" s="7">
        <v>5860</v>
      </c>
      <c r="P132" s="7">
        <v>14943</v>
      </c>
      <c r="Q132" s="9">
        <v>2671.05</v>
      </c>
      <c r="R132" s="17">
        <f t="shared" ref="R132:R195" si="2">Q132/P132</f>
        <v>0.17874924713912871</v>
      </c>
    </row>
    <row r="133" spans="2:18" x14ac:dyDescent="0.3">
      <c r="B133" s="21" t="s">
        <v>314</v>
      </c>
      <c r="C133" s="11">
        <v>45380</v>
      </c>
      <c r="D133" s="10" t="s">
        <v>315</v>
      </c>
      <c r="E133" s="10" t="s">
        <v>28</v>
      </c>
      <c r="F133" s="10" t="s">
        <v>37</v>
      </c>
      <c r="G133" s="10">
        <v>50</v>
      </c>
      <c r="H133" s="10" t="s">
        <v>20</v>
      </c>
      <c r="I133" s="10" t="s">
        <v>39</v>
      </c>
      <c r="J133" s="10" t="s">
        <v>50</v>
      </c>
      <c r="K133" s="10" t="s">
        <v>23</v>
      </c>
      <c r="L133" s="10" t="s">
        <v>47</v>
      </c>
      <c r="M133" s="10" t="s">
        <v>25</v>
      </c>
      <c r="N133" s="10">
        <v>1</v>
      </c>
      <c r="O133" s="10">
        <v>27106</v>
      </c>
      <c r="P133" s="10">
        <v>25750.7</v>
      </c>
      <c r="Q133" s="12">
        <v>8736.5</v>
      </c>
      <c r="R133" s="17">
        <f t="shared" si="2"/>
        <v>0.33927233046091948</v>
      </c>
    </row>
    <row r="134" spans="2:18" x14ac:dyDescent="0.3">
      <c r="B134" s="20" t="s">
        <v>316</v>
      </c>
      <c r="C134" s="8">
        <v>45434</v>
      </c>
      <c r="D134" s="7" t="s">
        <v>317</v>
      </c>
      <c r="E134" s="7" t="s">
        <v>59</v>
      </c>
      <c r="F134" s="7" t="s">
        <v>19</v>
      </c>
      <c r="G134" s="7">
        <v>55</v>
      </c>
      <c r="H134" s="7" t="s">
        <v>56</v>
      </c>
      <c r="I134" s="7" t="s">
        <v>46</v>
      </c>
      <c r="J134" s="7" t="s">
        <v>50</v>
      </c>
      <c r="K134" s="7" t="s">
        <v>23</v>
      </c>
      <c r="L134" s="7" t="s">
        <v>24</v>
      </c>
      <c r="M134" s="7" t="s">
        <v>41</v>
      </c>
      <c r="N134" s="7">
        <v>2</v>
      </c>
      <c r="O134" s="7">
        <v>13711</v>
      </c>
      <c r="P134" s="7">
        <v>27422</v>
      </c>
      <c r="Q134" s="9">
        <v>7940.63</v>
      </c>
      <c r="R134" s="17">
        <f t="shared" si="2"/>
        <v>0.28957151192473196</v>
      </c>
    </row>
    <row r="135" spans="2:18" x14ac:dyDescent="0.3">
      <c r="B135" s="21" t="s">
        <v>318</v>
      </c>
      <c r="C135" s="11">
        <v>45379</v>
      </c>
      <c r="D135" s="10" t="s">
        <v>319</v>
      </c>
      <c r="E135" s="10" t="s">
        <v>65</v>
      </c>
      <c r="F135" s="10" t="s">
        <v>37</v>
      </c>
      <c r="G135" s="10">
        <v>36</v>
      </c>
      <c r="H135" s="10" t="s">
        <v>66</v>
      </c>
      <c r="I135" s="10" t="s">
        <v>21</v>
      </c>
      <c r="J135" s="10" t="s">
        <v>22</v>
      </c>
      <c r="K135" s="10" t="s">
        <v>23</v>
      </c>
      <c r="L135" s="10" t="s">
        <v>47</v>
      </c>
      <c r="M135" s="10" t="s">
        <v>52</v>
      </c>
      <c r="N135" s="10">
        <v>4</v>
      </c>
      <c r="O135" s="10">
        <v>30810</v>
      </c>
      <c r="P135" s="10">
        <v>98592</v>
      </c>
      <c r="Q135" s="12">
        <v>29759.1</v>
      </c>
      <c r="R135" s="17">
        <f t="shared" si="2"/>
        <v>0.30184092015579356</v>
      </c>
    </row>
    <row r="136" spans="2:18" x14ac:dyDescent="0.3">
      <c r="B136" s="20" t="s">
        <v>320</v>
      </c>
      <c r="C136" s="8">
        <v>45523</v>
      </c>
      <c r="D136" s="7" t="s">
        <v>321</v>
      </c>
      <c r="E136" s="7" t="s">
        <v>93</v>
      </c>
      <c r="F136" s="7" t="s">
        <v>37</v>
      </c>
      <c r="G136" s="7">
        <v>54</v>
      </c>
      <c r="H136" s="7" t="s">
        <v>29</v>
      </c>
      <c r="I136" s="7" t="s">
        <v>21</v>
      </c>
      <c r="J136" s="7" t="s">
        <v>30</v>
      </c>
      <c r="K136" s="7" t="s">
        <v>23</v>
      </c>
      <c r="L136" s="7" t="s">
        <v>32</v>
      </c>
      <c r="M136" s="7" t="s">
        <v>41</v>
      </c>
      <c r="N136" s="7">
        <v>4</v>
      </c>
      <c r="O136" s="7">
        <v>32471</v>
      </c>
      <c r="P136" s="7">
        <v>110401.4</v>
      </c>
      <c r="Q136" s="9">
        <v>34650.39</v>
      </c>
      <c r="R136" s="17">
        <f t="shared" si="2"/>
        <v>0.31385824817438912</v>
      </c>
    </row>
    <row r="137" spans="2:18" x14ac:dyDescent="0.3">
      <c r="B137" s="21" t="s">
        <v>322</v>
      </c>
      <c r="C137" s="11">
        <v>45464</v>
      </c>
      <c r="D137" s="10" t="s">
        <v>323</v>
      </c>
      <c r="E137" s="10" t="s">
        <v>18</v>
      </c>
      <c r="F137" s="10" t="s">
        <v>37</v>
      </c>
      <c r="G137" s="10">
        <v>29</v>
      </c>
      <c r="H137" s="10" t="s">
        <v>66</v>
      </c>
      <c r="I137" s="10" t="s">
        <v>21</v>
      </c>
      <c r="J137" s="10" t="s">
        <v>30</v>
      </c>
      <c r="K137" s="10" t="s">
        <v>51</v>
      </c>
      <c r="L137" s="10" t="s">
        <v>60</v>
      </c>
      <c r="M137" s="10" t="s">
        <v>33</v>
      </c>
      <c r="N137" s="10">
        <v>2</v>
      </c>
      <c r="O137" s="10">
        <v>39976</v>
      </c>
      <c r="P137" s="10">
        <v>71956.800000000003</v>
      </c>
      <c r="Q137" s="12">
        <v>18734.36</v>
      </c>
      <c r="R137" s="17">
        <f t="shared" si="2"/>
        <v>0.26035565783914794</v>
      </c>
    </row>
    <row r="138" spans="2:18" x14ac:dyDescent="0.3">
      <c r="B138" s="20" t="s">
        <v>324</v>
      </c>
      <c r="C138" s="8">
        <v>45431</v>
      </c>
      <c r="D138" s="7" t="s">
        <v>325</v>
      </c>
      <c r="E138" s="7" t="s">
        <v>79</v>
      </c>
      <c r="F138" s="7" t="s">
        <v>19</v>
      </c>
      <c r="G138" s="7">
        <v>60</v>
      </c>
      <c r="H138" s="7" t="s">
        <v>38</v>
      </c>
      <c r="I138" s="7" t="s">
        <v>21</v>
      </c>
      <c r="J138" s="7" t="s">
        <v>50</v>
      </c>
      <c r="K138" s="7" t="s">
        <v>69</v>
      </c>
      <c r="L138" s="7" t="s">
        <v>24</v>
      </c>
      <c r="M138" s="7" t="s">
        <v>52</v>
      </c>
      <c r="N138" s="7">
        <v>4</v>
      </c>
      <c r="O138" s="7">
        <v>29322</v>
      </c>
      <c r="P138" s="7">
        <v>93830.399999999994</v>
      </c>
      <c r="Q138" s="9">
        <v>18348.23</v>
      </c>
      <c r="R138" s="17">
        <f t="shared" si="2"/>
        <v>0.19554675243844213</v>
      </c>
    </row>
    <row r="139" spans="2:18" x14ac:dyDescent="0.3">
      <c r="B139" s="21" t="s">
        <v>326</v>
      </c>
      <c r="C139" s="11">
        <v>45418</v>
      </c>
      <c r="D139" s="10" t="s">
        <v>327</v>
      </c>
      <c r="E139" s="10" t="s">
        <v>36</v>
      </c>
      <c r="F139" s="10" t="s">
        <v>19</v>
      </c>
      <c r="G139" s="10">
        <v>30</v>
      </c>
      <c r="H139" s="10" t="s">
        <v>20</v>
      </c>
      <c r="I139" s="10" t="s">
        <v>39</v>
      </c>
      <c r="J139" s="10" t="s">
        <v>30</v>
      </c>
      <c r="K139" s="10" t="s">
        <v>40</v>
      </c>
      <c r="L139" s="10" t="s">
        <v>47</v>
      </c>
      <c r="M139" s="10" t="s">
        <v>33</v>
      </c>
      <c r="N139" s="10">
        <v>3</v>
      </c>
      <c r="O139" s="10">
        <v>48424</v>
      </c>
      <c r="P139" s="10">
        <v>123481.2</v>
      </c>
      <c r="Q139" s="12">
        <v>21612.48</v>
      </c>
      <c r="R139" s="17">
        <f t="shared" si="2"/>
        <v>0.1750264817640256</v>
      </c>
    </row>
    <row r="140" spans="2:18" x14ac:dyDescent="0.3">
      <c r="B140" s="20" t="s">
        <v>328</v>
      </c>
      <c r="C140" s="8">
        <v>45629</v>
      </c>
      <c r="D140" s="7" t="s">
        <v>329</v>
      </c>
      <c r="E140" s="7" t="s">
        <v>65</v>
      </c>
      <c r="F140" s="7" t="s">
        <v>37</v>
      </c>
      <c r="G140" s="7">
        <v>50</v>
      </c>
      <c r="H140" s="7" t="s">
        <v>66</v>
      </c>
      <c r="I140" s="7" t="s">
        <v>21</v>
      </c>
      <c r="J140" s="7" t="s">
        <v>30</v>
      </c>
      <c r="K140" s="7" t="s">
        <v>51</v>
      </c>
      <c r="L140" s="7" t="s">
        <v>60</v>
      </c>
      <c r="M140" s="7" t="s">
        <v>33</v>
      </c>
      <c r="N140" s="7">
        <v>2</v>
      </c>
      <c r="O140" s="7">
        <v>48141</v>
      </c>
      <c r="P140" s="7">
        <v>96282</v>
      </c>
      <c r="Q140" s="9">
        <v>25493.200000000001</v>
      </c>
      <c r="R140" s="17">
        <f t="shared" si="2"/>
        <v>0.26477638603269565</v>
      </c>
    </row>
    <row r="141" spans="2:18" x14ac:dyDescent="0.3">
      <c r="B141" s="21" t="s">
        <v>330</v>
      </c>
      <c r="C141" s="11">
        <v>45415</v>
      </c>
      <c r="D141" s="10" t="s">
        <v>331</v>
      </c>
      <c r="E141" s="10" t="s">
        <v>79</v>
      </c>
      <c r="F141" s="10" t="s">
        <v>19</v>
      </c>
      <c r="G141" s="10">
        <v>18</v>
      </c>
      <c r="H141" s="10" t="s">
        <v>56</v>
      </c>
      <c r="I141" s="10" t="s">
        <v>39</v>
      </c>
      <c r="J141" s="10" t="s">
        <v>22</v>
      </c>
      <c r="K141" s="10" t="s">
        <v>69</v>
      </c>
      <c r="L141" s="10" t="s">
        <v>60</v>
      </c>
      <c r="M141" s="10" t="s">
        <v>41</v>
      </c>
      <c r="N141" s="10">
        <v>3</v>
      </c>
      <c r="O141" s="10">
        <v>18047</v>
      </c>
      <c r="P141" s="10">
        <v>48726.9</v>
      </c>
      <c r="Q141" s="12">
        <v>9240.7999999999993</v>
      </c>
      <c r="R141" s="17">
        <f t="shared" si="2"/>
        <v>0.18964473422278041</v>
      </c>
    </row>
    <row r="142" spans="2:18" x14ac:dyDescent="0.3">
      <c r="B142" s="20" t="s">
        <v>332</v>
      </c>
      <c r="C142" s="8">
        <v>45401</v>
      </c>
      <c r="D142" s="7" t="s">
        <v>333</v>
      </c>
      <c r="E142" s="7" t="s">
        <v>28</v>
      </c>
      <c r="F142" s="7" t="s">
        <v>19</v>
      </c>
      <c r="G142" s="7">
        <v>42</v>
      </c>
      <c r="H142" s="7" t="s">
        <v>20</v>
      </c>
      <c r="I142" s="7" t="s">
        <v>46</v>
      </c>
      <c r="J142" s="7" t="s">
        <v>50</v>
      </c>
      <c r="K142" s="7" t="s">
        <v>69</v>
      </c>
      <c r="L142" s="7" t="s">
        <v>24</v>
      </c>
      <c r="M142" s="7" t="s">
        <v>41</v>
      </c>
      <c r="N142" s="7">
        <v>3</v>
      </c>
      <c r="O142" s="7">
        <v>2884</v>
      </c>
      <c r="P142" s="7">
        <v>6921.6</v>
      </c>
      <c r="Q142" s="9">
        <v>2692.02</v>
      </c>
      <c r="R142" s="17">
        <f t="shared" si="2"/>
        <v>0.38893030513176141</v>
      </c>
    </row>
    <row r="143" spans="2:18" x14ac:dyDescent="0.3">
      <c r="B143" s="21" t="s">
        <v>334</v>
      </c>
      <c r="C143" s="11">
        <v>45560</v>
      </c>
      <c r="D143" s="10" t="s">
        <v>335</v>
      </c>
      <c r="E143" s="10" t="s">
        <v>79</v>
      </c>
      <c r="F143" s="10" t="s">
        <v>19</v>
      </c>
      <c r="G143" s="10">
        <v>42</v>
      </c>
      <c r="H143" s="10" t="s">
        <v>56</v>
      </c>
      <c r="I143" s="10" t="s">
        <v>21</v>
      </c>
      <c r="J143" s="10" t="s">
        <v>50</v>
      </c>
      <c r="K143" s="10" t="s">
        <v>31</v>
      </c>
      <c r="L143" s="10" t="s">
        <v>60</v>
      </c>
      <c r="M143" s="10" t="s">
        <v>25</v>
      </c>
      <c r="N143" s="10">
        <v>4</v>
      </c>
      <c r="O143" s="10">
        <v>14054</v>
      </c>
      <c r="P143" s="10">
        <v>56216</v>
      </c>
      <c r="Q143" s="12">
        <v>12592.65</v>
      </c>
      <c r="R143" s="17">
        <f t="shared" si="2"/>
        <v>0.22400473174896826</v>
      </c>
    </row>
    <row r="144" spans="2:18" x14ac:dyDescent="0.3">
      <c r="B144" s="20" t="s">
        <v>336</v>
      </c>
      <c r="C144" s="8">
        <v>45593</v>
      </c>
      <c r="D144" s="7" t="s">
        <v>337</v>
      </c>
      <c r="E144" s="7" t="s">
        <v>18</v>
      </c>
      <c r="F144" s="7" t="s">
        <v>19</v>
      </c>
      <c r="G144" s="7">
        <v>21</v>
      </c>
      <c r="H144" s="7" t="s">
        <v>38</v>
      </c>
      <c r="I144" s="7" t="s">
        <v>21</v>
      </c>
      <c r="J144" s="7" t="s">
        <v>22</v>
      </c>
      <c r="K144" s="7" t="s">
        <v>23</v>
      </c>
      <c r="L144" s="7" t="s">
        <v>60</v>
      </c>
      <c r="M144" s="7" t="s">
        <v>41</v>
      </c>
      <c r="N144" s="7">
        <v>5</v>
      </c>
      <c r="O144" s="7">
        <v>7030</v>
      </c>
      <c r="P144" s="7">
        <v>35150</v>
      </c>
      <c r="Q144" s="9">
        <v>9721.89</v>
      </c>
      <c r="R144" s="17">
        <f t="shared" si="2"/>
        <v>0.27658293029871978</v>
      </c>
    </row>
    <row r="145" spans="2:18" x14ac:dyDescent="0.3">
      <c r="B145" s="21" t="s">
        <v>338</v>
      </c>
      <c r="C145" s="11">
        <v>45501</v>
      </c>
      <c r="D145" s="10" t="s">
        <v>339</v>
      </c>
      <c r="E145" s="10" t="s">
        <v>79</v>
      </c>
      <c r="F145" s="10" t="s">
        <v>19</v>
      </c>
      <c r="G145" s="10">
        <v>23</v>
      </c>
      <c r="H145" s="10" t="s">
        <v>38</v>
      </c>
      <c r="I145" s="10" t="s">
        <v>39</v>
      </c>
      <c r="J145" s="10" t="s">
        <v>30</v>
      </c>
      <c r="K145" s="10" t="s">
        <v>51</v>
      </c>
      <c r="L145" s="10" t="s">
        <v>32</v>
      </c>
      <c r="M145" s="10" t="s">
        <v>52</v>
      </c>
      <c r="N145" s="10">
        <v>2</v>
      </c>
      <c r="O145" s="10">
        <v>10739</v>
      </c>
      <c r="P145" s="10">
        <v>18256.3</v>
      </c>
      <c r="Q145" s="12">
        <v>3167.07</v>
      </c>
      <c r="R145" s="17">
        <f t="shared" si="2"/>
        <v>0.17347819656776017</v>
      </c>
    </row>
    <row r="146" spans="2:18" x14ac:dyDescent="0.3">
      <c r="B146" s="20" t="s">
        <v>340</v>
      </c>
      <c r="C146" s="8">
        <v>45359</v>
      </c>
      <c r="D146" s="7" t="s">
        <v>341</v>
      </c>
      <c r="E146" s="7" t="s">
        <v>55</v>
      </c>
      <c r="F146" s="7" t="s">
        <v>37</v>
      </c>
      <c r="G146" s="7">
        <v>56</v>
      </c>
      <c r="H146" s="7" t="s">
        <v>56</v>
      </c>
      <c r="I146" s="7" t="s">
        <v>46</v>
      </c>
      <c r="J146" s="7" t="s">
        <v>50</v>
      </c>
      <c r="K146" s="7" t="s">
        <v>31</v>
      </c>
      <c r="L146" s="7" t="s">
        <v>24</v>
      </c>
      <c r="M146" s="7" t="s">
        <v>52</v>
      </c>
      <c r="N146" s="7">
        <v>5</v>
      </c>
      <c r="O146" s="7">
        <v>19822</v>
      </c>
      <c r="P146" s="7">
        <v>84243.5</v>
      </c>
      <c r="Q146" s="9">
        <v>20473.509999999998</v>
      </c>
      <c r="R146" s="17">
        <f t="shared" si="2"/>
        <v>0.24302777068853976</v>
      </c>
    </row>
    <row r="147" spans="2:18" x14ac:dyDescent="0.3">
      <c r="B147" s="21" t="s">
        <v>342</v>
      </c>
      <c r="C147" s="11">
        <v>45431</v>
      </c>
      <c r="D147" s="10" t="s">
        <v>343</v>
      </c>
      <c r="E147" s="10" t="s">
        <v>55</v>
      </c>
      <c r="F147" s="10" t="s">
        <v>37</v>
      </c>
      <c r="G147" s="10">
        <v>42</v>
      </c>
      <c r="H147" s="10" t="s">
        <v>29</v>
      </c>
      <c r="I147" s="10" t="s">
        <v>39</v>
      </c>
      <c r="J147" s="10" t="s">
        <v>30</v>
      </c>
      <c r="K147" s="10" t="s">
        <v>51</v>
      </c>
      <c r="L147" s="10" t="s">
        <v>32</v>
      </c>
      <c r="M147" s="10" t="s">
        <v>25</v>
      </c>
      <c r="N147" s="10">
        <v>3</v>
      </c>
      <c r="O147" s="10">
        <v>43626</v>
      </c>
      <c r="P147" s="10">
        <v>130878</v>
      </c>
      <c r="Q147" s="12">
        <v>36328.18</v>
      </c>
      <c r="R147" s="17">
        <f t="shared" si="2"/>
        <v>0.27757285410840632</v>
      </c>
    </row>
    <row r="148" spans="2:18" x14ac:dyDescent="0.3">
      <c r="B148" s="20" t="s">
        <v>344</v>
      </c>
      <c r="C148" s="8">
        <v>45606</v>
      </c>
      <c r="D148" s="7" t="s">
        <v>345</v>
      </c>
      <c r="E148" s="7" t="s">
        <v>76</v>
      </c>
      <c r="F148" s="7" t="s">
        <v>19</v>
      </c>
      <c r="G148" s="7">
        <v>37</v>
      </c>
      <c r="H148" s="7" t="s">
        <v>56</v>
      </c>
      <c r="I148" s="7" t="s">
        <v>21</v>
      </c>
      <c r="J148" s="7" t="s">
        <v>50</v>
      </c>
      <c r="K148" s="7" t="s">
        <v>40</v>
      </c>
      <c r="L148" s="7" t="s">
        <v>47</v>
      </c>
      <c r="M148" s="7" t="s">
        <v>33</v>
      </c>
      <c r="N148" s="7">
        <v>1</v>
      </c>
      <c r="O148" s="7">
        <v>38397</v>
      </c>
      <c r="P148" s="7">
        <v>32637.45</v>
      </c>
      <c r="Q148" s="9">
        <v>8775.74</v>
      </c>
      <c r="R148" s="17">
        <f t="shared" si="2"/>
        <v>0.26888559002005363</v>
      </c>
    </row>
    <row r="149" spans="2:18" x14ac:dyDescent="0.3">
      <c r="B149" s="21" t="s">
        <v>346</v>
      </c>
      <c r="C149" s="11">
        <v>45588</v>
      </c>
      <c r="D149" s="10" t="s">
        <v>347</v>
      </c>
      <c r="E149" s="10" t="s">
        <v>93</v>
      </c>
      <c r="F149" s="10" t="s">
        <v>19</v>
      </c>
      <c r="G149" s="10">
        <v>29</v>
      </c>
      <c r="H149" s="10" t="s">
        <v>56</v>
      </c>
      <c r="I149" s="10" t="s">
        <v>21</v>
      </c>
      <c r="J149" s="10" t="s">
        <v>22</v>
      </c>
      <c r="K149" s="10" t="s">
        <v>51</v>
      </c>
      <c r="L149" s="10" t="s">
        <v>24</v>
      </c>
      <c r="M149" s="10" t="s">
        <v>41</v>
      </c>
      <c r="N149" s="10">
        <v>2</v>
      </c>
      <c r="O149" s="10">
        <v>29926</v>
      </c>
      <c r="P149" s="10">
        <v>56859.4</v>
      </c>
      <c r="Q149" s="12">
        <v>16410.080000000002</v>
      </c>
      <c r="R149" s="17">
        <f t="shared" si="2"/>
        <v>0.28860804018332942</v>
      </c>
    </row>
    <row r="150" spans="2:18" x14ac:dyDescent="0.3">
      <c r="B150" s="20" t="s">
        <v>348</v>
      </c>
      <c r="C150" s="8">
        <v>45433</v>
      </c>
      <c r="D150" s="7" t="s">
        <v>349</v>
      </c>
      <c r="E150" s="7" t="s">
        <v>65</v>
      </c>
      <c r="F150" s="7" t="s">
        <v>37</v>
      </c>
      <c r="G150" s="7">
        <v>59</v>
      </c>
      <c r="H150" s="7" t="s">
        <v>38</v>
      </c>
      <c r="I150" s="7" t="s">
        <v>21</v>
      </c>
      <c r="J150" s="7" t="s">
        <v>30</v>
      </c>
      <c r="K150" s="7" t="s">
        <v>23</v>
      </c>
      <c r="L150" s="7" t="s">
        <v>24</v>
      </c>
      <c r="M150" s="7" t="s">
        <v>41</v>
      </c>
      <c r="N150" s="7">
        <v>3</v>
      </c>
      <c r="O150" s="7">
        <v>32418</v>
      </c>
      <c r="P150" s="7">
        <v>77803.199999999997</v>
      </c>
      <c r="Q150" s="9">
        <v>22213.71</v>
      </c>
      <c r="R150" s="17">
        <f t="shared" si="2"/>
        <v>0.28551152137701274</v>
      </c>
    </row>
    <row r="151" spans="2:18" x14ac:dyDescent="0.3">
      <c r="B151" s="21" t="s">
        <v>350</v>
      </c>
      <c r="C151" s="11">
        <v>45323</v>
      </c>
      <c r="D151" s="10" t="s">
        <v>351</v>
      </c>
      <c r="E151" s="10" t="s">
        <v>36</v>
      </c>
      <c r="F151" s="10" t="s">
        <v>19</v>
      </c>
      <c r="G151" s="10">
        <v>55</v>
      </c>
      <c r="H151" s="10" t="s">
        <v>29</v>
      </c>
      <c r="I151" s="10" t="s">
        <v>21</v>
      </c>
      <c r="J151" s="10" t="s">
        <v>50</v>
      </c>
      <c r="K151" s="10" t="s">
        <v>40</v>
      </c>
      <c r="L151" s="10" t="s">
        <v>60</v>
      </c>
      <c r="M151" s="10" t="s">
        <v>52</v>
      </c>
      <c r="N151" s="10">
        <v>3</v>
      </c>
      <c r="O151" s="10">
        <v>12218</v>
      </c>
      <c r="P151" s="10">
        <v>31155.9</v>
      </c>
      <c r="Q151" s="12">
        <v>8431.08</v>
      </c>
      <c r="R151" s="17">
        <f t="shared" si="2"/>
        <v>0.27060941908274194</v>
      </c>
    </row>
    <row r="152" spans="2:18" x14ac:dyDescent="0.3">
      <c r="B152" s="20" t="s">
        <v>352</v>
      </c>
      <c r="C152" s="8">
        <v>45600</v>
      </c>
      <c r="D152" s="7" t="s">
        <v>353</v>
      </c>
      <c r="E152" s="7" t="s">
        <v>44</v>
      </c>
      <c r="F152" s="7" t="s">
        <v>37</v>
      </c>
      <c r="G152" s="7">
        <v>50</v>
      </c>
      <c r="H152" s="7" t="s">
        <v>38</v>
      </c>
      <c r="I152" s="7" t="s">
        <v>21</v>
      </c>
      <c r="J152" s="7" t="s">
        <v>22</v>
      </c>
      <c r="K152" s="7" t="s">
        <v>51</v>
      </c>
      <c r="L152" s="7" t="s">
        <v>47</v>
      </c>
      <c r="M152" s="7" t="s">
        <v>52</v>
      </c>
      <c r="N152" s="7">
        <v>4</v>
      </c>
      <c r="O152" s="7">
        <v>8532</v>
      </c>
      <c r="P152" s="7">
        <v>32421.599999999999</v>
      </c>
      <c r="Q152" s="9">
        <v>9122.56</v>
      </c>
      <c r="R152" s="17">
        <f t="shared" si="2"/>
        <v>0.28137291188590324</v>
      </c>
    </row>
    <row r="153" spans="2:18" x14ac:dyDescent="0.3">
      <c r="B153" s="21" t="s">
        <v>354</v>
      </c>
      <c r="C153" s="11">
        <v>45515</v>
      </c>
      <c r="D153" s="10" t="s">
        <v>355</v>
      </c>
      <c r="E153" s="10" t="s">
        <v>65</v>
      </c>
      <c r="F153" s="10" t="s">
        <v>19</v>
      </c>
      <c r="G153" s="10">
        <v>45</v>
      </c>
      <c r="H153" s="10" t="s">
        <v>38</v>
      </c>
      <c r="I153" s="10" t="s">
        <v>39</v>
      </c>
      <c r="J153" s="10" t="s">
        <v>50</v>
      </c>
      <c r="K153" s="10" t="s">
        <v>51</v>
      </c>
      <c r="L153" s="10" t="s">
        <v>24</v>
      </c>
      <c r="M153" s="10" t="s">
        <v>52</v>
      </c>
      <c r="N153" s="10">
        <v>2</v>
      </c>
      <c r="O153" s="10">
        <v>29212</v>
      </c>
      <c r="P153" s="10">
        <v>49660.4</v>
      </c>
      <c r="Q153" s="12">
        <v>18420.349999999999</v>
      </c>
      <c r="R153" s="17">
        <f t="shared" si="2"/>
        <v>0.37092633164452959</v>
      </c>
    </row>
    <row r="154" spans="2:18" x14ac:dyDescent="0.3">
      <c r="B154" s="20" t="s">
        <v>356</v>
      </c>
      <c r="C154" s="8">
        <v>45306</v>
      </c>
      <c r="D154" s="7" t="s">
        <v>357</v>
      </c>
      <c r="E154" s="7" t="s">
        <v>36</v>
      </c>
      <c r="F154" s="7" t="s">
        <v>19</v>
      </c>
      <c r="G154" s="7">
        <v>55</v>
      </c>
      <c r="H154" s="7" t="s">
        <v>20</v>
      </c>
      <c r="I154" s="7" t="s">
        <v>21</v>
      </c>
      <c r="J154" s="7" t="s">
        <v>50</v>
      </c>
      <c r="K154" s="7" t="s">
        <v>23</v>
      </c>
      <c r="L154" s="7" t="s">
        <v>47</v>
      </c>
      <c r="M154" s="7" t="s">
        <v>33</v>
      </c>
      <c r="N154" s="7">
        <v>2</v>
      </c>
      <c r="O154" s="7">
        <v>13788</v>
      </c>
      <c r="P154" s="7">
        <v>24818.400000000001</v>
      </c>
      <c r="Q154" s="9">
        <v>4993.8500000000004</v>
      </c>
      <c r="R154" s="17">
        <f t="shared" si="2"/>
        <v>0.2012156303387809</v>
      </c>
    </row>
    <row r="155" spans="2:18" x14ac:dyDescent="0.3">
      <c r="B155" s="21" t="s">
        <v>358</v>
      </c>
      <c r="C155" s="11">
        <v>45399</v>
      </c>
      <c r="D155" s="10" t="s">
        <v>359</v>
      </c>
      <c r="E155" s="10" t="s">
        <v>76</v>
      </c>
      <c r="F155" s="10" t="s">
        <v>19</v>
      </c>
      <c r="G155" s="10">
        <v>19</v>
      </c>
      <c r="H155" s="10" t="s">
        <v>66</v>
      </c>
      <c r="I155" s="10" t="s">
        <v>21</v>
      </c>
      <c r="J155" s="10" t="s">
        <v>22</v>
      </c>
      <c r="K155" s="10" t="s">
        <v>69</v>
      </c>
      <c r="L155" s="10" t="s">
        <v>24</v>
      </c>
      <c r="M155" s="10" t="s">
        <v>25</v>
      </c>
      <c r="N155" s="10">
        <v>1</v>
      </c>
      <c r="O155" s="10">
        <v>18898</v>
      </c>
      <c r="P155" s="10">
        <v>17008.2</v>
      </c>
      <c r="Q155" s="12">
        <v>5006.71</v>
      </c>
      <c r="R155" s="17">
        <f t="shared" si="2"/>
        <v>0.29437036253101445</v>
      </c>
    </row>
    <row r="156" spans="2:18" x14ac:dyDescent="0.3">
      <c r="B156" s="20" t="s">
        <v>360</v>
      </c>
      <c r="C156" s="8">
        <v>45489</v>
      </c>
      <c r="D156" s="7" t="s">
        <v>361</v>
      </c>
      <c r="E156" s="7" t="s">
        <v>76</v>
      </c>
      <c r="F156" s="7" t="s">
        <v>37</v>
      </c>
      <c r="G156" s="7">
        <v>28</v>
      </c>
      <c r="H156" s="7" t="s">
        <v>66</v>
      </c>
      <c r="I156" s="7" t="s">
        <v>21</v>
      </c>
      <c r="J156" s="7" t="s">
        <v>30</v>
      </c>
      <c r="K156" s="7" t="s">
        <v>40</v>
      </c>
      <c r="L156" s="7" t="s">
        <v>47</v>
      </c>
      <c r="M156" s="7" t="s">
        <v>52</v>
      </c>
      <c r="N156" s="7">
        <v>2</v>
      </c>
      <c r="O156" s="7">
        <v>48913</v>
      </c>
      <c r="P156" s="7">
        <v>78260.800000000003</v>
      </c>
      <c r="Q156" s="9">
        <v>13420.15</v>
      </c>
      <c r="R156" s="17">
        <f t="shared" si="2"/>
        <v>0.17147984687097498</v>
      </c>
    </row>
    <row r="157" spans="2:18" x14ac:dyDescent="0.3">
      <c r="B157" s="21" t="s">
        <v>362</v>
      </c>
      <c r="C157" s="11">
        <v>45360</v>
      </c>
      <c r="D157" s="10" t="s">
        <v>363</v>
      </c>
      <c r="E157" s="10" t="s">
        <v>93</v>
      </c>
      <c r="F157" s="10" t="s">
        <v>19</v>
      </c>
      <c r="G157" s="10">
        <v>26</v>
      </c>
      <c r="H157" s="10" t="s">
        <v>29</v>
      </c>
      <c r="I157" s="10" t="s">
        <v>21</v>
      </c>
      <c r="J157" s="10" t="s">
        <v>22</v>
      </c>
      <c r="K157" s="10" t="s">
        <v>69</v>
      </c>
      <c r="L157" s="10" t="s">
        <v>32</v>
      </c>
      <c r="M157" s="10" t="s">
        <v>41</v>
      </c>
      <c r="N157" s="10">
        <v>3</v>
      </c>
      <c r="O157" s="10">
        <v>37163</v>
      </c>
      <c r="P157" s="10">
        <v>100340.1</v>
      </c>
      <c r="Q157" s="12">
        <v>27188.5</v>
      </c>
      <c r="R157" s="17">
        <f t="shared" si="2"/>
        <v>0.27096345329534255</v>
      </c>
    </row>
    <row r="158" spans="2:18" x14ac:dyDescent="0.3">
      <c r="B158" s="20" t="s">
        <v>364</v>
      </c>
      <c r="C158" s="8">
        <v>45568</v>
      </c>
      <c r="D158" s="7" t="s">
        <v>365</v>
      </c>
      <c r="E158" s="7" t="s">
        <v>79</v>
      </c>
      <c r="F158" s="7" t="s">
        <v>19</v>
      </c>
      <c r="G158" s="7">
        <v>45</v>
      </c>
      <c r="H158" s="7" t="s">
        <v>38</v>
      </c>
      <c r="I158" s="7" t="s">
        <v>21</v>
      </c>
      <c r="J158" s="7" t="s">
        <v>30</v>
      </c>
      <c r="K158" s="7" t="s">
        <v>23</v>
      </c>
      <c r="L158" s="7" t="s">
        <v>60</v>
      </c>
      <c r="M158" s="7" t="s">
        <v>33</v>
      </c>
      <c r="N158" s="7">
        <v>3</v>
      </c>
      <c r="O158" s="7">
        <v>3906</v>
      </c>
      <c r="P158" s="7">
        <v>9960.2999999999993</v>
      </c>
      <c r="Q158" s="9">
        <v>3178.18</v>
      </c>
      <c r="R158" s="17">
        <f t="shared" si="2"/>
        <v>0.3190847665230967</v>
      </c>
    </row>
    <row r="159" spans="2:18" x14ac:dyDescent="0.3">
      <c r="B159" s="21" t="s">
        <v>366</v>
      </c>
      <c r="C159" s="11">
        <v>45537</v>
      </c>
      <c r="D159" s="10" t="s">
        <v>367</v>
      </c>
      <c r="E159" s="10" t="s">
        <v>44</v>
      </c>
      <c r="F159" s="10" t="s">
        <v>37</v>
      </c>
      <c r="G159" s="10">
        <v>26</v>
      </c>
      <c r="H159" s="10" t="s">
        <v>45</v>
      </c>
      <c r="I159" s="10" t="s">
        <v>46</v>
      </c>
      <c r="J159" s="10" t="s">
        <v>30</v>
      </c>
      <c r="K159" s="10" t="s">
        <v>40</v>
      </c>
      <c r="L159" s="10" t="s">
        <v>24</v>
      </c>
      <c r="M159" s="10" t="s">
        <v>52</v>
      </c>
      <c r="N159" s="10">
        <v>1</v>
      </c>
      <c r="O159" s="10">
        <v>3922</v>
      </c>
      <c r="P159" s="10">
        <v>3725.9</v>
      </c>
      <c r="Q159" s="12">
        <v>1348.77</v>
      </c>
      <c r="R159" s="17">
        <f t="shared" si="2"/>
        <v>0.36199844332912851</v>
      </c>
    </row>
    <row r="160" spans="2:18" x14ac:dyDescent="0.3">
      <c r="B160" s="20" t="s">
        <v>368</v>
      </c>
      <c r="C160" s="8">
        <v>45464</v>
      </c>
      <c r="D160" s="7" t="s">
        <v>369</v>
      </c>
      <c r="E160" s="7" t="s">
        <v>44</v>
      </c>
      <c r="F160" s="7" t="s">
        <v>19</v>
      </c>
      <c r="G160" s="7">
        <v>47</v>
      </c>
      <c r="H160" s="7" t="s">
        <v>38</v>
      </c>
      <c r="I160" s="7" t="s">
        <v>21</v>
      </c>
      <c r="J160" s="7" t="s">
        <v>22</v>
      </c>
      <c r="K160" s="7" t="s">
        <v>40</v>
      </c>
      <c r="L160" s="7" t="s">
        <v>47</v>
      </c>
      <c r="M160" s="7" t="s">
        <v>52</v>
      </c>
      <c r="N160" s="7">
        <v>1</v>
      </c>
      <c r="O160" s="7">
        <v>29825</v>
      </c>
      <c r="P160" s="7">
        <v>28333.75</v>
      </c>
      <c r="Q160" s="9">
        <v>11117.47</v>
      </c>
      <c r="R160" s="17">
        <f t="shared" si="2"/>
        <v>0.39237552388935454</v>
      </c>
    </row>
    <row r="161" spans="2:18" x14ac:dyDescent="0.3">
      <c r="B161" s="21" t="s">
        <v>370</v>
      </c>
      <c r="C161" s="11">
        <v>45477</v>
      </c>
      <c r="D161" s="10" t="s">
        <v>371</v>
      </c>
      <c r="E161" s="10" t="s">
        <v>65</v>
      </c>
      <c r="F161" s="10" t="s">
        <v>19</v>
      </c>
      <c r="G161" s="10">
        <v>42</v>
      </c>
      <c r="H161" s="10" t="s">
        <v>56</v>
      </c>
      <c r="I161" s="10" t="s">
        <v>21</v>
      </c>
      <c r="J161" s="10" t="s">
        <v>22</v>
      </c>
      <c r="K161" s="10" t="s">
        <v>51</v>
      </c>
      <c r="L161" s="10" t="s">
        <v>32</v>
      </c>
      <c r="M161" s="10" t="s">
        <v>33</v>
      </c>
      <c r="N161" s="10">
        <v>2</v>
      </c>
      <c r="O161" s="10">
        <v>39256</v>
      </c>
      <c r="P161" s="10">
        <v>62809.599999999999</v>
      </c>
      <c r="Q161" s="12">
        <v>18880.04</v>
      </c>
      <c r="R161" s="17">
        <f t="shared" si="2"/>
        <v>0.30059162930507438</v>
      </c>
    </row>
    <row r="162" spans="2:18" x14ac:dyDescent="0.3">
      <c r="B162" s="20" t="s">
        <v>372</v>
      </c>
      <c r="C162" s="8">
        <v>45605</v>
      </c>
      <c r="D162" s="7" t="s">
        <v>373</v>
      </c>
      <c r="E162" s="7" t="s">
        <v>28</v>
      </c>
      <c r="F162" s="7" t="s">
        <v>37</v>
      </c>
      <c r="G162" s="7">
        <v>55</v>
      </c>
      <c r="H162" s="7" t="s">
        <v>66</v>
      </c>
      <c r="I162" s="7" t="s">
        <v>39</v>
      </c>
      <c r="J162" s="7" t="s">
        <v>30</v>
      </c>
      <c r="K162" s="7" t="s">
        <v>31</v>
      </c>
      <c r="L162" s="7" t="s">
        <v>60</v>
      </c>
      <c r="M162" s="7" t="s">
        <v>41</v>
      </c>
      <c r="N162" s="7">
        <v>3</v>
      </c>
      <c r="O162" s="7">
        <v>35722</v>
      </c>
      <c r="P162" s="7">
        <v>91091.1</v>
      </c>
      <c r="Q162" s="9">
        <v>29535.93</v>
      </c>
      <c r="R162" s="17">
        <f t="shared" si="2"/>
        <v>0.32424605696934167</v>
      </c>
    </row>
    <row r="163" spans="2:18" x14ac:dyDescent="0.3">
      <c r="B163" s="21" t="s">
        <v>374</v>
      </c>
      <c r="C163" s="11">
        <v>45404</v>
      </c>
      <c r="D163" s="10" t="s">
        <v>375</v>
      </c>
      <c r="E163" s="10" t="s">
        <v>18</v>
      </c>
      <c r="F163" s="10" t="s">
        <v>37</v>
      </c>
      <c r="G163" s="10">
        <v>36</v>
      </c>
      <c r="H163" s="10" t="s">
        <v>66</v>
      </c>
      <c r="I163" s="10" t="s">
        <v>21</v>
      </c>
      <c r="J163" s="10" t="s">
        <v>50</v>
      </c>
      <c r="K163" s="10" t="s">
        <v>69</v>
      </c>
      <c r="L163" s="10" t="s">
        <v>60</v>
      </c>
      <c r="M163" s="10" t="s">
        <v>25</v>
      </c>
      <c r="N163" s="10">
        <v>4</v>
      </c>
      <c r="O163" s="10">
        <v>23862</v>
      </c>
      <c r="P163" s="10">
        <v>90675.6</v>
      </c>
      <c r="Q163" s="12">
        <v>35854.949999999997</v>
      </c>
      <c r="R163" s="17">
        <f t="shared" si="2"/>
        <v>0.39542004684832516</v>
      </c>
    </row>
    <row r="164" spans="2:18" x14ac:dyDescent="0.3">
      <c r="B164" s="20" t="s">
        <v>376</v>
      </c>
      <c r="C164" s="8">
        <v>45644</v>
      </c>
      <c r="D164" s="7" t="s">
        <v>377</v>
      </c>
      <c r="E164" s="7" t="s">
        <v>28</v>
      </c>
      <c r="F164" s="7" t="s">
        <v>19</v>
      </c>
      <c r="G164" s="7">
        <v>46</v>
      </c>
      <c r="H164" s="7" t="s">
        <v>66</v>
      </c>
      <c r="I164" s="7" t="s">
        <v>21</v>
      </c>
      <c r="J164" s="7" t="s">
        <v>22</v>
      </c>
      <c r="K164" s="7" t="s">
        <v>51</v>
      </c>
      <c r="L164" s="7" t="s">
        <v>47</v>
      </c>
      <c r="M164" s="7" t="s">
        <v>33</v>
      </c>
      <c r="N164" s="7">
        <v>5</v>
      </c>
      <c r="O164" s="7">
        <v>15162</v>
      </c>
      <c r="P164" s="7">
        <v>75810</v>
      </c>
      <c r="Q164" s="9">
        <v>26166.3</v>
      </c>
      <c r="R164" s="17">
        <f t="shared" si="2"/>
        <v>0.34515631183221213</v>
      </c>
    </row>
    <row r="165" spans="2:18" x14ac:dyDescent="0.3">
      <c r="B165" s="21" t="s">
        <v>378</v>
      </c>
      <c r="C165" s="11">
        <v>45421</v>
      </c>
      <c r="D165" s="10" t="s">
        <v>379</v>
      </c>
      <c r="E165" s="10" t="s">
        <v>44</v>
      </c>
      <c r="F165" s="10" t="s">
        <v>37</v>
      </c>
      <c r="G165" s="10">
        <v>18</v>
      </c>
      <c r="H165" s="10" t="s">
        <v>20</v>
      </c>
      <c r="I165" s="10" t="s">
        <v>46</v>
      </c>
      <c r="J165" s="10" t="s">
        <v>30</v>
      </c>
      <c r="K165" s="10" t="s">
        <v>31</v>
      </c>
      <c r="L165" s="10" t="s">
        <v>60</v>
      </c>
      <c r="M165" s="10" t="s">
        <v>33</v>
      </c>
      <c r="N165" s="10">
        <v>1</v>
      </c>
      <c r="O165" s="10">
        <v>32660</v>
      </c>
      <c r="P165" s="10">
        <v>27761</v>
      </c>
      <c r="Q165" s="12">
        <v>9213.09</v>
      </c>
      <c r="R165" s="17">
        <f t="shared" si="2"/>
        <v>0.33187169050106263</v>
      </c>
    </row>
    <row r="166" spans="2:18" x14ac:dyDescent="0.3">
      <c r="B166" s="20" t="s">
        <v>380</v>
      </c>
      <c r="C166" s="8">
        <v>45502</v>
      </c>
      <c r="D166" s="7" t="s">
        <v>381</v>
      </c>
      <c r="E166" s="7" t="s">
        <v>93</v>
      </c>
      <c r="F166" s="7" t="s">
        <v>19</v>
      </c>
      <c r="G166" s="7">
        <v>22</v>
      </c>
      <c r="H166" s="7" t="s">
        <v>66</v>
      </c>
      <c r="I166" s="7" t="s">
        <v>39</v>
      </c>
      <c r="J166" s="7" t="s">
        <v>22</v>
      </c>
      <c r="K166" s="7" t="s">
        <v>23</v>
      </c>
      <c r="L166" s="7" t="s">
        <v>60</v>
      </c>
      <c r="M166" s="7" t="s">
        <v>25</v>
      </c>
      <c r="N166" s="7">
        <v>5</v>
      </c>
      <c r="O166" s="7">
        <v>3258</v>
      </c>
      <c r="P166" s="7">
        <v>15475.5</v>
      </c>
      <c r="Q166" s="9">
        <v>5308.24</v>
      </c>
      <c r="R166" s="17">
        <f t="shared" si="2"/>
        <v>0.34300927272139831</v>
      </c>
    </row>
    <row r="167" spans="2:18" x14ac:dyDescent="0.3">
      <c r="B167" s="21" t="s">
        <v>382</v>
      </c>
      <c r="C167" s="11">
        <v>45552</v>
      </c>
      <c r="D167" s="10" t="s">
        <v>383</v>
      </c>
      <c r="E167" s="10" t="s">
        <v>55</v>
      </c>
      <c r="F167" s="10" t="s">
        <v>37</v>
      </c>
      <c r="G167" s="10">
        <v>44</v>
      </c>
      <c r="H167" s="10" t="s">
        <v>20</v>
      </c>
      <c r="I167" s="10" t="s">
        <v>46</v>
      </c>
      <c r="J167" s="10" t="s">
        <v>22</v>
      </c>
      <c r="K167" s="10" t="s">
        <v>40</v>
      </c>
      <c r="L167" s="10" t="s">
        <v>80</v>
      </c>
      <c r="M167" s="10" t="s">
        <v>41</v>
      </c>
      <c r="N167" s="10">
        <v>1</v>
      </c>
      <c r="O167" s="10">
        <v>19866</v>
      </c>
      <c r="P167" s="10">
        <v>16886.099999999999</v>
      </c>
      <c r="Q167" s="12">
        <v>4612.74</v>
      </c>
      <c r="R167" s="17">
        <f t="shared" si="2"/>
        <v>0.27316787179988278</v>
      </c>
    </row>
    <row r="168" spans="2:18" x14ac:dyDescent="0.3">
      <c r="B168" s="20" t="s">
        <v>384</v>
      </c>
      <c r="C168" s="8">
        <v>45388</v>
      </c>
      <c r="D168" s="7" t="s">
        <v>385</v>
      </c>
      <c r="E168" s="7" t="s">
        <v>59</v>
      </c>
      <c r="F168" s="7" t="s">
        <v>37</v>
      </c>
      <c r="G168" s="7">
        <v>57</v>
      </c>
      <c r="H168" s="7" t="s">
        <v>56</v>
      </c>
      <c r="I168" s="7" t="s">
        <v>21</v>
      </c>
      <c r="J168" s="7" t="s">
        <v>30</v>
      </c>
      <c r="K168" s="7" t="s">
        <v>40</v>
      </c>
      <c r="L168" s="7" t="s">
        <v>60</v>
      </c>
      <c r="M168" s="7" t="s">
        <v>33</v>
      </c>
      <c r="N168" s="7">
        <v>3</v>
      </c>
      <c r="O168" s="7">
        <v>17087</v>
      </c>
      <c r="P168" s="7">
        <v>48697.95</v>
      </c>
      <c r="Q168" s="9">
        <v>18783.39</v>
      </c>
      <c r="R168" s="17">
        <f t="shared" si="2"/>
        <v>0.38571212956602896</v>
      </c>
    </row>
    <row r="169" spans="2:18" x14ac:dyDescent="0.3">
      <c r="B169" s="21" t="s">
        <v>386</v>
      </c>
      <c r="C169" s="11">
        <v>45337</v>
      </c>
      <c r="D169" s="10" t="s">
        <v>387</v>
      </c>
      <c r="E169" s="10" t="s">
        <v>76</v>
      </c>
      <c r="F169" s="10" t="s">
        <v>37</v>
      </c>
      <c r="G169" s="10">
        <v>60</v>
      </c>
      <c r="H169" s="10" t="s">
        <v>38</v>
      </c>
      <c r="I169" s="10" t="s">
        <v>21</v>
      </c>
      <c r="J169" s="10" t="s">
        <v>30</v>
      </c>
      <c r="K169" s="10" t="s">
        <v>23</v>
      </c>
      <c r="L169" s="10" t="s">
        <v>47</v>
      </c>
      <c r="M169" s="10" t="s">
        <v>52</v>
      </c>
      <c r="N169" s="10">
        <v>4</v>
      </c>
      <c r="O169" s="10">
        <v>5657</v>
      </c>
      <c r="P169" s="10">
        <v>18102.400000000001</v>
      </c>
      <c r="Q169" s="12">
        <v>6723.74</v>
      </c>
      <c r="R169" s="17">
        <f t="shared" si="2"/>
        <v>0.3714280979317659</v>
      </c>
    </row>
    <row r="170" spans="2:18" x14ac:dyDescent="0.3">
      <c r="B170" s="20" t="s">
        <v>388</v>
      </c>
      <c r="C170" s="8">
        <v>45434</v>
      </c>
      <c r="D170" s="7" t="s">
        <v>389</v>
      </c>
      <c r="E170" s="7" t="s">
        <v>55</v>
      </c>
      <c r="F170" s="7" t="s">
        <v>19</v>
      </c>
      <c r="G170" s="7">
        <v>37</v>
      </c>
      <c r="H170" s="7" t="s">
        <v>38</v>
      </c>
      <c r="I170" s="7" t="s">
        <v>21</v>
      </c>
      <c r="J170" s="7" t="s">
        <v>22</v>
      </c>
      <c r="K170" s="7" t="s">
        <v>69</v>
      </c>
      <c r="L170" s="7" t="s">
        <v>80</v>
      </c>
      <c r="M170" s="7" t="s">
        <v>33</v>
      </c>
      <c r="N170" s="7">
        <v>1</v>
      </c>
      <c r="O170" s="7">
        <v>8506</v>
      </c>
      <c r="P170" s="7">
        <v>8506</v>
      </c>
      <c r="Q170" s="9">
        <v>2272.4499999999998</v>
      </c>
      <c r="R170" s="17">
        <f t="shared" si="2"/>
        <v>0.26715847636962142</v>
      </c>
    </row>
    <row r="171" spans="2:18" x14ac:dyDescent="0.3">
      <c r="B171" s="21" t="s">
        <v>390</v>
      </c>
      <c r="C171" s="11">
        <v>45437</v>
      </c>
      <c r="D171" s="10" t="s">
        <v>391</v>
      </c>
      <c r="E171" s="10" t="s">
        <v>79</v>
      </c>
      <c r="F171" s="10" t="s">
        <v>37</v>
      </c>
      <c r="G171" s="10">
        <v>18</v>
      </c>
      <c r="H171" s="10" t="s">
        <v>45</v>
      </c>
      <c r="I171" s="10" t="s">
        <v>46</v>
      </c>
      <c r="J171" s="10" t="s">
        <v>50</v>
      </c>
      <c r="K171" s="10" t="s">
        <v>69</v>
      </c>
      <c r="L171" s="10" t="s">
        <v>60</v>
      </c>
      <c r="M171" s="10" t="s">
        <v>41</v>
      </c>
      <c r="N171" s="10">
        <v>4</v>
      </c>
      <c r="O171" s="10">
        <v>36625</v>
      </c>
      <c r="P171" s="10">
        <v>139175</v>
      </c>
      <c r="Q171" s="12">
        <v>34191.839999999997</v>
      </c>
      <c r="R171" s="17">
        <f t="shared" si="2"/>
        <v>0.24567515717621696</v>
      </c>
    </row>
    <row r="172" spans="2:18" x14ac:dyDescent="0.3">
      <c r="B172" s="20" t="s">
        <v>392</v>
      </c>
      <c r="C172" s="8">
        <v>45404</v>
      </c>
      <c r="D172" s="7" t="s">
        <v>393</v>
      </c>
      <c r="E172" s="7" t="s">
        <v>44</v>
      </c>
      <c r="F172" s="7" t="s">
        <v>19</v>
      </c>
      <c r="G172" s="7">
        <v>24</v>
      </c>
      <c r="H172" s="7" t="s">
        <v>45</v>
      </c>
      <c r="I172" s="7" t="s">
        <v>21</v>
      </c>
      <c r="J172" s="7" t="s">
        <v>50</v>
      </c>
      <c r="K172" s="7" t="s">
        <v>23</v>
      </c>
      <c r="L172" s="7" t="s">
        <v>24</v>
      </c>
      <c r="M172" s="7" t="s">
        <v>25</v>
      </c>
      <c r="N172" s="7">
        <v>1</v>
      </c>
      <c r="O172" s="7">
        <v>38829</v>
      </c>
      <c r="P172" s="7">
        <v>38829</v>
      </c>
      <c r="Q172" s="9">
        <v>9200.99</v>
      </c>
      <c r="R172" s="17">
        <f t="shared" si="2"/>
        <v>0.23696180689690693</v>
      </c>
    </row>
    <row r="173" spans="2:18" x14ac:dyDescent="0.3">
      <c r="B173" s="21" t="s">
        <v>394</v>
      </c>
      <c r="C173" s="11">
        <v>45460</v>
      </c>
      <c r="D173" s="10" t="s">
        <v>395</v>
      </c>
      <c r="E173" s="10" t="s">
        <v>93</v>
      </c>
      <c r="F173" s="10" t="s">
        <v>37</v>
      </c>
      <c r="G173" s="10">
        <v>44</v>
      </c>
      <c r="H173" s="10" t="s">
        <v>45</v>
      </c>
      <c r="I173" s="10" t="s">
        <v>21</v>
      </c>
      <c r="J173" s="10" t="s">
        <v>30</v>
      </c>
      <c r="K173" s="10" t="s">
        <v>40</v>
      </c>
      <c r="L173" s="10" t="s">
        <v>80</v>
      </c>
      <c r="M173" s="10" t="s">
        <v>33</v>
      </c>
      <c r="N173" s="10">
        <v>3</v>
      </c>
      <c r="O173" s="10">
        <v>24228</v>
      </c>
      <c r="P173" s="10">
        <v>72684</v>
      </c>
      <c r="Q173" s="12">
        <v>15358.07</v>
      </c>
      <c r="R173" s="17">
        <f t="shared" si="2"/>
        <v>0.21129918551538165</v>
      </c>
    </row>
    <row r="174" spans="2:18" x14ac:dyDescent="0.3">
      <c r="B174" s="20" t="s">
        <v>396</v>
      </c>
      <c r="C174" s="8">
        <v>45413</v>
      </c>
      <c r="D174" s="7" t="s">
        <v>397</v>
      </c>
      <c r="E174" s="7" t="s">
        <v>44</v>
      </c>
      <c r="F174" s="7" t="s">
        <v>37</v>
      </c>
      <c r="G174" s="7">
        <v>37</v>
      </c>
      <c r="H174" s="7" t="s">
        <v>45</v>
      </c>
      <c r="I174" s="7" t="s">
        <v>39</v>
      </c>
      <c r="J174" s="7" t="s">
        <v>50</v>
      </c>
      <c r="K174" s="7" t="s">
        <v>40</v>
      </c>
      <c r="L174" s="7" t="s">
        <v>24</v>
      </c>
      <c r="M174" s="7" t="s">
        <v>25</v>
      </c>
      <c r="N174" s="7">
        <v>5</v>
      </c>
      <c r="O174" s="7">
        <v>32245</v>
      </c>
      <c r="P174" s="7">
        <v>145102.5</v>
      </c>
      <c r="Q174" s="9">
        <v>37346.86</v>
      </c>
      <c r="R174" s="17">
        <f t="shared" si="2"/>
        <v>0.25738260884547132</v>
      </c>
    </row>
    <row r="175" spans="2:18" x14ac:dyDescent="0.3">
      <c r="B175" s="21" t="s">
        <v>398</v>
      </c>
      <c r="C175" s="11">
        <v>45539</v>
      </c>
      <c r="D175" s="10" t="s">
        <v>399</v>
      </c>
      <c r="E175" s="10" t="s">
        <v>59</v>
      </c>
      <c r="F175" s="10" t="s">
        <v>37</v>
      </c>
      <c r="G175" s="10">
        <v>48</v>
      </c>
      <c r="H175" s="10" t="s">
        <v>38</v>
      </c>
      <c r="I175" s="10" t="s">
        <v>39</v>
      </c>
      <c r="J175" s="10" t="s">
        <v>50</v>
      </c>
      <c r="K175" s="10" t="s">
        <v>31</v>
      </c>
      <c r="L175" s="10" t="s">
        <v>32</v>
      </c>
      <c r="M175" s="10" t="s">
        <v>41</v>
      </c>
      <c r="N175" s="10">
        <v>5</v>
      </c>
      <c r="O175" s="10">
        <v>26795</v>
      </c>
      <c r="P175" s="10">
        <v>127276.25</v>
      </c>
      <c r="Q175" s="12">
        <v>21367.73</v>
      </c>
      <c r="R175" s="17">
        <f t="shared" si="2"/>
        <v>0.16788466033529428</v>
      </c>
    </row>
    <row r="176" spans="2:18" x14ac:dyDescent="0.3">
      <c r="B176" s="20" t="s">
        <v>400</v>
      </c>
      <c r="C176" s="8">
        <v>45630</v>
      </c>
      <c r="D176" s="7" t="s">
        <v>401</v>
      </c>
      <c r="E176" s="7" t="s">
        <v>44</v>
      </c>
      <c r="F176" s="7" t="s">
        <v>37</v>
      </c>
      <c r="G176" s="7">
        <v>43</v>
      </c>
      <c r="H176" s="7" t="s">
        <v>20</v>
      </c>
      <c r="I176" s="7" t="s">
        <v>21</v>
      </c>
      <c r="J176" s="7" t="s">
        <v>22</v>
      </c>
      <c r="K176" s="7" t="s">
        <v>31</v>
      </c>
      <c r="L176" s="7" t="s">
        <v>60</v>
      </c>
      <c r="M176" s="7" t="s">
        <v>33</v>
      </c>
      <c r="N176" s="7">
        <v>2</v>
      </c>
      <c r="O176" s="7">
        <v>34854</v>
      </c>
      <c r="P176" s="7">
        <v>66222.600000000006</v>
      </c>
      <c r="Q176" s="9">
        <v>10609.12</v>
      </c>
      <c r="R176" s="17">
        <f t="shared" si="2"/>
        <v>0.16020391829979494</v>
      </c>
    </row>
    <row r="177" spans="2:18" x14ac:dyDescent="0.3">
      <c r="B177" s="21" t="s">
        <v>402</v>
      </c>
      <c r="C177" s="11">
        <v>45321</v>
      </c>
      <c r="D177" s="10" t="s">
        <v>403</v>
      </c>
      <c r="E177" s="10" t="s">
        <v>28</v>
      </c>
      <c r="F177" s="10" t="s">
        <v>19</v>
      </c>
      <c r="G177" s="10">
        <v>20</v>
      </c>
      <c r="H177" s="10" t="s">
        <v>20</v>
      </c>
      <c r="I177" s="10" t="s">
        <v>21</v>
      </c>
      <c r="J177" s="10" t="s">
        <v>50</v>
      </c>
      <c r="K177" s="10" t="s">
        <v>40</v>
      </c>
      <c r="L177" s="10" t="s">
        <v>80</v>
      </c>
      <c r="M177" s="10" t="s">
        <v>33</v>
      </c>
      <c r="N177" s="10">
        <v>5</v>
      </c>
      <c r="O177" s="10">
        <v>27539</v>
      </c>
      <c r="P177" s="10">
        <v>117040.75</v>
      </c>
      <c r="Q177" s="12">
        <v>30003.08</v>
      </c>
      <c r="R177" s="17">
        <f t="shared" si="2"/>
        <v>0.25634729784284532</v>
      </c>
    </row>
    <row r="178" spans="2:18" x14ac:dyDescent="0.3">
      <c r="B178" s="20" t="s">
        <v>404</v>
      </c>
      <c r="C178" s="8">
        <v>45642</v>
      </c>
      <c r="D178" s="7" t="s">
        <v>405</v>
      </c>
      <c r="E178" s="7" t="s">
        <v>65</v>
      </c>
      <c r="F178" s="7" t="s">
        <v>19</v>
      </c>
      <c r="G178" s="7">
        <v>51</v>
      </c>
      <c r="H178" s="7" t="s">
        <v>66</v>
      </c>
      <c r="I178" s="7" t="s">
        <v>39</v>
      </c>
      <c r="J178" s="7" t="s">
        <v>50</v>
      </c>
      <c r="K178" s="7" t="s">
        <v>40</v>
      </c>
      <c r="L178" s="7" t="s">
        <v>60</v>
      </c>
      <c r="M178" s="7" t="s">
        <v>52</v>
      </c>
      <c r="N178" s="7">
        <v>5</v>
      </c>
      <c r="O178" s="7">
        <v>21976</v>
      </c>
      <c r="P178" s="7">
        <v>109880</v>
      </c>
      <c r="Q178" s="9">
        <v>26747.74</v>
      </c>
      <c r="R178" s="17">
        <f t="shared" si="2"/>
        <v>0.2434268292682927</v>
      </c>
    </row>
    <row r="179" spans="2:18" x14ac:dyDescent="0.3">
      <c r="B179" s="21" t="s">
        <v>406</v>
      </c>
      <c r="C179" s="11">
        <v>45472</v>
      </c>
      <c r="D179" s="10" t="s">
        <v>407</v>
      </c>
      <c r="E179" s="10" t="s">
        <v>59</v>
      </c>
      <c r="F179" s="10" t="s">
        <v>37</v>
      </c>
      <c r="G179" s="10">
        <v>45</v>
      </c>
      <c r="H179" s="10" t="s">
        <v>66</v>
      </c>
      <c r="I179" s="10" t="s">
        <v>46</v>
      </c>
      <c r="J179" s="10" t="s">
        <v>22</v>
      </c>
      <c r="K179" s="10" t="s">
        <v>23</v>
      </c>
      <c r="L179" s="10" t="s">
        <v>80</v>
      </c>
      <c r="M179" s="10" t="s">
        <v>52</v>
      </c>
      <c r="N179" s="10">
        <v>4</v>
      </c>
      <c r="O179" s="10">
        <v>7531</v>
      </c>
      <c r="P179" s="10">
        <v>24099.200000000001</v>
      </c>
      <c r="Q179" s="12">
        <v>6743.41</v>
      </c>
      <c r="R179" s="17">
        <f t="shared" si="2"/>
        <v>0.27981883216040365</v>
      </c>
    </row>
    <row r="180" spans="2:18" x14ac:dyDescent="0.3">
      <c r="B180" s="20" t="s">
        <v>408</v>
      </c>
      <c r="C180" s="8">
        <v>45628</v>
      </c>
      <c r="D180" s="7" t="s">
        <v>409</v>
      </c>
      <c r="E180" s="7" t="s">
        <v>65</v>
      </c>
      <c r="F180" s="7" t="s">
        <v>37</v>
      </c>
      <c r="G180" s="7">
        <v>23</v>
      </c>
      <c r="H180" s="7" t="s">
        <v>20</v>
      </c>
      <c r="I180" s="7" t="s">
        <v>21</v>
      </c>
      <c r="J180" s="7" t="s">
        <v>22</v>
      </c>
      <c r="K180" s="7" t="s">
        <v>40</v>
      </c>
      <c r="L180" s="7" t="s">
        <v>47</v>
      </c>
      <c r="M180" s="7" t="s">
        <v>33</v>
      </c>
      <c r="N180" s="7">
        <v>5</v>
      </c>
      <c r="O180" s="7">
        <v>501</v>
      </c>
      <c r="P180" s="7">
        <v>2004</v>
      </c>
      <c r="Q180" s="9">
        <v>727.97</v>
      </c>
      <c r="R180" s="17">
        <f t="shared" si="2"/>
        <v>0.36325848303393216</v>
      </c>
    </row>
    <row r="181" spans="2:18" x14ac:dyDescent="0.3">
      <c r="B181" s="21" t="s">
        <v>410</v>
      </c>
      <c r="C181" s="11">
        <v>45406</v>
      </c>
      <c r="D181" s="10" t="s">
        <v>411</v>
      </c>
      <c r="E181" s="10" t="s">
        <v>76</v>
      </c>
      <c r="F181" s="10" t="s">
        <v>37</v>
      </c>
      <c r="G181" s="10">
        <v>18</v>
      </c>
      <c r="H181" s="10" t="s">
        <v>45</v>
      </c>
      <c r="I181" s="10" t="s">
        <v>21</v>
      </c>
      <c r="J181" s="10" t="s">
        <v>22</v>
      </c>
      <c r="K181" s="10" t="s">
        <v>69</v>
      </c>
      <c r="L181" s="10" t="s">
        <v>24</v>
      </c>
      <c r="M181" s="10" t="s">
        <v>33</v>
      </c>
      <c r="N181" s="10">
        <v>4</v>
      </c>
      <c r="O181" s="10">
        <v>42913</v>
      </c>
      <c r="P181" s="10">
        <v>145904.20000000001</v>
      </c>
      <c r="Q181" s="12">
        <v>37469.68</v>
      </c>
      <c r="R181" s="17">
        <f t="shared" si="2"/>
        <v>0.25681015351168779</v>
      </c>
    </row>
    <row r="182" spans="2:18" x14ac:dyDescent="0.3">
      <c r="B182" s="20" t="s">
        <v>412</v>
      </c>
      <c r="C182" s="8">
        <v>45515</v>
      </c>
      <c r="D182" s="7" t="s">
        <v>413</v>
      </c>
      <c r="E182" s="7" t="s">
        <v>76</v>
      </c>
      <c r="F182" s="7" t="s">
        <v>37</v>
      </c>
      <c r="G182" s="7">
        <v>43</v>
      </c>
      <c r="H182" s="7" t="s">
        <v>56</v>
      </c>
      <c r="I182" s="7" t="s">
        <v>46</v>
      </c>
      <c r="J182" s="7" t="s">
        <v>22</v>
      </c>
      <c r="K182" s="7" t="s">
        <v>31</v>
      </c>
      <c r="L182" s="7" t="s">
        <v>60</v>
      </c>
      <c r="M182" s="7" t="s">
        <v>25</v>
      </c>
      <c r="N182" s="7">
        <v>3</v>
      </c>
      <c r="O182" s="7">
        <v>29024</v>
      </c>
      <c r="P182" s="7">
        <v>87072</v>
      </c>
      <c r="Q182" s="9">
        <v>31691.72</v>
      </c>
      <c r="R182" s="17">
        <f t="shared" si="2"/>
        <v>0.3639714259463433</v>
      </c>
    </row>
    <row r="183" spans="2:18" x14ac:dyDescent="0.3">
      <c r="B183" s="21" t="s">
        <v>414</v>
      </c>
      <c r="C183" s="11">
        <v>45296</v>
      </c>
      <c r="D183" s="10" t="s">
        <v>415</v>
      </c>
      <c r="E183" s="10" t="s">
        <v>55</v>
      </c>
      <c r="F183" s="10" t="s">
        <v>19</v>
      </c>
      <c r="G183" s="10">
        <v>36</v>
      </c>
      <c r="H183" s="10" t="s">
        <v>56</v>
      </c>
      <c r="I183" s="10" t="s">
        <v>46</v>
      </c>
      <c r="J183" s="10" t="s">
        <v>30</v>
      </c>
      <c r="K183" s="10" t="s">
        <v>23</v>
      </c>
      <c r="L183" s="10" t="s">
        <v>24</v>
      </c>
      <c r="M183" s="10" t="s">
        <v>33</v>
      </c>
      <c r="N183" s="10">
        <v>5</v>
      </c>
      <c r="O183" s="10">
        <v>14222</v>
      </c>
      <c r="P183" s="10">
        <v>60443.5</v>
      </c>
      <c r="Q183" s="12">
        <v>23475.62</v>
      </c>
      <c r="R183" s="17">
        <f t="shared" si="2"/>
        <v>0.38838948770339243</v>
      </c>
    </row>
    <row r="184" spans="2:18" x14ac:dyDescent="0.3">
      <c r="B184" s="20" t="s">
        <v>416</v>
      </c>
      <c r="C184" s="8">
        <v>45498</v>
      </c>
      <c r="D184" s="7" t="s">
        <v>417</v>
      </c>
      <c r="E184" s="7" t="s">
        <v>65</v>
      </c>
      <c r="F184" s="7" t="s">
        <v>37</v>
      </c>
      <c r="G184" s="7">
        <v>60</v>
      </c>
      <c r="H184" s="7" t="s">
        <v>29</v>
      </c>
      <c r="I184" s="7" t="s">
        <v>21</v>
      </c>
      <c r="J184" s="7" t="s">
        <v>22</v>
      </c>
      <c r="K184" s="7" t="s">
        <v>51</v>
      </c>
      <c r="L184" s="7" t="s">
        <v>32</v>
      </c>
      <c r="M184" s="7" t="s">
        <v>52</v>
      </c>
      <c r="N184" s="7">
        <v>3</v>
      </c>
      <c r="O184" s="7">
        <v>11503</v>
      </c>
      <c r="P184" s="7">
        <v>31058.1</v>
      </c>
      <c r="Q184" s="9">
        <v>7789.61</v>
      </c>
      <c r="R184" s="17">
        <f t="shared" si="2"/>
        <v>0.25080767980011653</v>
      </c>
    </row>
    <row r="185" spans="2:18" x14ac:dyDescent="0.3">
      <c r="B185" s="21" t="s">
        <v>418</v>
      </c>
      <c r="C185" s="11">
        <v>45354</v>
      </c>
      <c r="D185" s="10" t="s">
        <v>419</v>
      </c>
      <c r="E185" s="10" t="s">
        <v>93</v>
      </c>
      <c r="F185" s="10" t="s">
        <v>19</v>
      </c>
      <c r="G185" s="10">
        <v>31</v>
      </c>
      <c r="H185" s="10" t="s">
        <v>45</v>
      </c>
      <c r="I185" s="10" t="s">
        <v>46</v>
      </c>
      <c r="J185" s="10" t="s">
        <v>30</v>
      </c>
      <c r="K185" s="10" t="s">
        <v>51</v>
      </c>
      <c r="L185" s="10" t="s">
        <v>80</v>
      </c>
      <c r="M185" s="10" t="s">
        <v>25</v>
      </c>
      <c r="N185" s="10">
        <v>4</v>
      </c>
      <c r="O185" s="10">
        <v>26185</v>
      </c>
      <c r="P185" s="10">
        <v>99503</v>
      </c>
      <c r="Q185" s="12">
        <v>37681</v>
      </c>
      <c r="R185" s="17">
        <f t="shared" si="2"/>
        <v>0.37869209973568635</v>
      </c>
    </row>
    <row r="186" spans="2:18" x14ac:dyDescent="0.3">
      <c r="B186" s="20" t="s">
        <v>420</v>
      </c>
      <c r="C186" s="8">
        <v>45420</v>
      </c>
      <c r="D186" s="7" t="s">
        <v>421</v>
      </c>
      <c r="E186" s="7" t="s">
        <v>36</v>
      </c>
      <c r="F186" s="7" t="s">
        <v>37</v>
      </c>
      <c r="G186" s="7">
        <v>58</v>
      </c>
      <c r="H186" s="7" t="s">
        <v>29</v>
      </c>
      <c r="I186" s="7" t="s">
        <v>21</v>
      </c>
      <c r="J186" s="7" t="s">
        <v>30</v>
      </c>
      <c r="K186" s="7" t="s">
        <v>31</v>
      </c>
      <c r="L186" s="7" t="s">
        <v>80</v>
      </c>
      <c r="M186" s="7" t="s">
        <v>52</v>
      </c>
      <c r="N186" s="7">
        <v>2</v>
      </c>
      <c r="O186" s="7">
        <v>47332</v>
      </c>
      <c r="P186" s="7">
        <v>85197.6</v>
      </c>
      <c r="Q186" s="9">
        <v>22527.69</v>
      </c>
      <c r="R186" s="17">
        <f t="shared" si="2"/>
        <v>0.26441695540719451</v>
      </c>
    </row>
    <row r="187" spans="2:18" x14ac:dyDescent="0.3">
      <c r="B187" s="21" t="s">
        <v>422</v>
      </c>
      <c r="C187" s="11">
        <v>45530</v>
      </c>
      <c r="D187" s="10" t="s">
        <v>423</v>
      </c>
      <c r="E187" s="10" t="s">
        <v>93</v>
      </c>
      <c r="F187" s="10" t="s">
        <v>37</v>
      </c>
      <c r="G187" s="10">
        <v>39</v>
      </c>
      <c r="H187" s="10" t="s">
        <v>45</v>
      </c>
      <c r="I187" s="10" t="s">
        <v>21</v>
      </c>
      <c r="J187" s="10" t="s">
        <v>30</v>
      </c>
      <c r="K187" s="10" t="s">
        <v>40</v>
      </c>
      <c r="L187" s="10" t="s">
        <v>32</v>
      </c>
      <c r="M187" s="10" t="s">
        <v>41</v>
      </c>
      <c r="N187" s="10">
        <v>1</v>
      </c>
      <c r="O187" s="10">
        <v>2874</v>
      </c>
      <c r="P187" s="10">
        <v>2299.1999999999998</v>
      </c>
      <c r="Q187" s="12">
        <v>731.72</v>
      </c>
      <c r="R187" s="17">
        <f t="shared" si="2"/>
        <v>0.31824982602644403</v>
      </c>
    </row>
    <row r="188" spans="2:18" x14ac:dyDescent="0.3">
      <c r="B188" s="20" t="s">
        <v>424</v>
      </c>
      <c r="C188" s="8">
        <v>45524</v>
      </c>
      <c r="D188" s="7" t="s">
        <v>425</v>
      </c>
      <c r="E188" s="7" t="s">
        <v>55</v>
      </c>
      <c r="F188" s="7" t="s">
        <v>19</v>
      </c>
      <c r="G188" s="7">
        <v>32</v>
      </c>
      <c r="H188" s="7" t="s">
        <v>45</v>
      </c>
      <c r="I188" s="7" t="s">
        <v>21</v>
      </c>
      <c r="J188" s="7" t="s">
        <v>22</v>
      </c>
      <c r="K188" s="7" t="s">
        <v>23</v>
      </c>
      <c r="L188" s="7" t="s">
        <v>32</v>
      </c>
      <c r="M188" s="7" t="s">
        <v>41</v>
      </c>
      <c r="N188" s="7">
        <v>3</v>
      </c>
      <c r="O188" s="7">
        <v>11244</v>
      </c>
      <c r="P188" s="7">
        <v>30358.799999999999</v>
      </c>
      <c r="Q188" s="9">
        <v>8330.07</v>
      </c>
      <c r="R188" s="17">
        <f t="shared" si="2"/>
        <v>0.27438732756235423</v>
      </c>
    </row>
    <row r="189" spans="2:18" x14ac:dyDescent="0.3">
      <c r="B189" s="21" t="s">
        <v>426</v>
      </c>
      <c r="C189" s="11">
        <v>45638</v>
      </c>
      <c r="D189" s="10" t="s">
        <v>427</v>
      </c>
      <c r="E189" s="10" t="s">
        <v>28</v>
      </c>
      <c r="F189" s="10" t="s">
        <v>37</v>
      </c>
      <c r="G189" s="10">
        <v>45</v>
      </c>
      <c r="H189" s="10" t="s">
        <v>56</v>
      </c>
      <c r="I189" s="10" t="s">
        <v>46</v>
      </c>
      <c r="J189" s="10" t="s">
        <v>22</v>
      </c>
      <c r="K189" s="10" t="s">
        <v>40</v>
      </c>
      <c r="L189" s="10" t="s">
        <v>24</v>
      </c>
      <c r="M189" s="10" t="s">
        <v>25</v>
      </c>
      <c r="N189" s="10">
        <v>1</v>
      </c>
      <c r="O189" s="10">
        <v>15668</v>
      </c>
      <c r="P189" s="10">
        <v>14884.6</v>
      </c>
      <c r="Q189" s="12">
        <v>5068.92</v>
      </c>
      <c r="R189" s="17">
        <f t="shared" si="2"/>
        <v>0.34054794888676887</v>
      </c>
    </row>
    <row r="190" spans="2:18" x14ac:dyDescent="0.3">
      <c r="B190" s="20" t="s">
        <v>428</v>
      </c>
      <c r="C190" s="8">
        <v>45367</v>
      </c>
      <c r="D190" s="7" t="s">
        <v>429</v>
      </c>
      <c r="E190" s="7" t="s">
        <v>18</v>
      </c>
      <c r="F190" s="7" t="s">
        <v>37</v>
      </c>
      <c r="G190" s="7">
        <v>40</v>
      </c>
      <c r="H190" s="7" t="s">
        <v>29</v>
      </c>
      <c r="I190" s="7" t="s">
        <v>21</v>
      </c>
      <c r="J190" s="7" t="s">
        <v>30</v>
      </c>
      <c r="K190" s="7" t="s">
        <v>69</v>
      </c>
      <c r="L190" s="7" t="s">
        <v>80</v>
      </c>
      <c r="M190" s="7" t="s">
        <v>41</v>
      </c>
      <c r="N190" s="7">
        <v>3</v>
      </c>
      <c r="O190" s="7">
        <v>19248</v>
      </c>
      <c r="P190" s="7">
        <v>51969.599999999999</v>
      </c>
      <c r="Q190" s="9">
        <v>17880.43</v>
      </c>
      <c r="R190" s="17">
        <f t="shared" si="2"/>
        <v>0.34405556325236292</v>
      </c>
    </row>
    <row r="191" spans="2:18" x14ac:dyDescent="0.3">
      <c r="B191" s="21" t="s">
        <v>430</v>
      </c>
      <c r="C191" s="11">
        <v>45402</v>
      </c>
      <c r="D191" s="10" t="s">
        <v>431</v>
      </c>
      <c r="E191" s="10" t="s">
        <v>55</v>
      </c>
      <c r="F191" s="10" t="s">
        <v>37</v>
      </c>
      <c r="G191" s="10">
        <v>41</v>
      </c>
      <c r="H191" s="10" t="s">
        <v>20</v>
      </c>
      <c r="I191" s="10" t="s">
        <v>39</v>
      </c>
      <c r="J191" s="10" t="s">
        <v>22</v>
      </c>
      <c r="K191" s="10" t="s">
        <v>69</v>
      </c>
      <c r="L191" s="10" t="s">
        <v>47</v>
      </c>
      <c r="M191" s="10" t="s">
        <v>41</v>
      </c>
      <c r="N191" s="10">
        <v>4</v>
      </c>
      <c r="O191" s="10">
        <v>10492</v>
      </c>
      <c r="P191" s="10">
        <v>33574.400000000001</v>
      </c>
      <c r="Q191" s="12">
        <v>6675.15</v>
      </c>
      <c r="R191" s="17">
        <f t="shared" si="2"/>
        <v>0.19881665792985129</v>
      </c>
    </row>
    <row r="192" spans="2:18" x14ac:dyDescent="0.3">
      <c r="B192" s="20" t="s">
        <v>432</v>
      </c>
      <c r="C192" s="8">
        <v>45385</v>
      </c>
      <c r="D192" s="7" t="s">
        <v>433</v>
      </c>
      <c r="E192" s="7" t="s">
        <v>28</v>
      </c>
      <c r="F192" s="7" t="s">
        <v>19</v>
      </c>
      <c r="G192" s="7">
        <v>38</v>
      </c>
      <c r="H192" s="7" t="s">
        <v>20</v>
      </c>
      <c r="I192" s="7" t="s">
        <v>21</v>
      </c>
      <c r="J192" s="7" t="s">
        <v>50</v>
      </c>
      <c r="K192" s="7" t="s">
        <v>31</v>
      </c>
      <c r="L192" s="7" t="s">
        <v>32</v>
      </c>
      <c r="M192" s="7" t="s">
        <v>41</v>
      </c>
      <c r="N192" s="7">
        <v>4</v>
      </c>
      <c r="O192" s="7">
        <v>44886</v>
      </c>
      <c r="P192" s="7">
        <v>161589.6</v>
      </c>
      <c r="Q192" s="9">
        <v>63887.83</v>
      </c>
      <c r="R192" s="17">
        <f t="shared" si="2"/>
        <v>0.39537092733690782</v>
      </c>
    </row>
    <row r="193" spans="2:18" x14ac:dyDescent="0.3">
      <c r="B193" s="21" t="s">
        <v>434</v>
      </c>
      <c r="C193" s="11">
        <v>45619</v>
      </c>
      <c r="D193" s="10" t="s">
        <v>435</v>
      </c>
      <c r="E193" s="10" t="s">
        <v>79</v>
      </c>
      <c r="F193" s="10" t="s">
        <v>37</v>
      </c>
      <c r="G193" s="10">
        <v>37</v>
      </c>
      <c r="H193" s="10" t="s">
        <v>29</v>
      </c>
      <c r="I193" s="10" t="s">
        <v>21</v>
      </c>
      <c r="J193" s="10" t="s">
        <v>50</v>
      </c>
      <c r="K193" s="10" t="s">
        <v>51</v>
      </c>
      <c r="L193" s="10" t="s">
        <v>60</v>
      </c>
      <c r="M193" s="10" t="s">
        <v>33</v>
      </c>
      <c r="N193" s="10">
        <v>5</v>
      </c>
      <c r="O193" s="10">
        <v>32242</v>
      </c>
      <c r="P193" s="10">
        <v>128968</v>
      </c>
      <c r="Q193" s="12">
        <v>30314.560000000001</v>
      </c>
      <c r="R193" s="17">
        <f t="shared" si="2"/>
        <v>0.23505489733887477</v>
      </c>
    </row>
    <row r="194" spans="2:18" x14ac:dyDescent="0.3">
      <c r="B194" s="20" t="s">
        <v>436</v>
      </c>
      <c r="C194" s="8">
        <v>45333</v>
      </c>
      <c r="D194" s="7" t="s">
        <v>437</v>
      </c>
      <c r="E194" s="7" t="s">
        <v>79</v>
      </c>
      <c r="F194" s="7" t="s">
        <v>19</v>
      </c>
      <c r="G194" s="7">
        <v>31</v>
      </c>
      <c r="H194" s="7" t="s">
        <v>45</v>
      </c>
      <c r="I194" s="7" t="s">
        <v>46</v>
      </c>
      <c r="J194" s="7" t="s">
        <v>22</v>
      </c>
      <c r="K194" s="7" t="s">
        <v>40</v>
      </c>
      <c r="L194" s="7" t="s">
        <v>47</v>
      </c>
      <c r="M194" s="7" t="s">
        <v>25</v>
      </c>
      <c r="N194" s="7">
        <v>3</v>
      </c>
      <c r="O194" s="7">
        <v>23564</v>
      </c>
      <c r="P194" s="7">
        <v>67157.399999999994</v>
      </c>
      <c r="Q194" s="9">
        <v>17879.330000000002</v>
      </c>
      <c r="R194" s="17">
        <f t="shared" si="2"/>
        <v>0.26623022928225337</v>
      </c>
    </row>
    <row r="195" spans="2:18" x14ac:dyDescent="0.3">
      <c r="B195" s="21" t="s">
        <v>438</v>
      </c>
      <c r="C195" s="11">
        <v>45302</v>
      </c>
      <c r="D195" s="10" t="s">
        <v>439</v>
      </c>
      <c r="E195" s="10" t="s">
        <v>44</v>
      </c>
      <c r="F195" s="10" t="s">
        <v>37</v>
      </c>
      <c r="G195" s="10">
        <v>33</v>
      </c>
      <c r="H195" s="10" t="s">
        <v>56</v>
      </c>
      <c r="I195" s="10" t="s">
        <v>21</v>
      </c>
      <c r="J195" s="10" t="s">
        <v>50</v>
      </c>
      <c r="K195" s="10" t="s">
        <v>51</v>
      </c>
      <c r="L195" s="10" t="s">
        <v>60</v>
      </c>
      <c r="M195" s="10" t="s">
        <v>33</v>
      </c>
      <c r="N195" s="10">
        <v>3</v>
      </c>
      <c r="O195" s="10">
        <v>38096</v>
      </c>
      <c r="P195" s="10">
        <v>97144.8</v>
      </c>
      <c r="Q195" s="12">
        <v>38762.29</v>
      </c>
      <c r="R195" s="17">
        <f t="shared" si="2"/>
        <v>0.39901559321754743</v>
      </c>
    </row>
    <row r="196" spans="2:18" x14ac:dyDescent="0.3">
      <c r="B196" s="20" t="s">
        <v>440</v>
      </c>
      <c r="C196" s="8">
        <v>45579</v>
      </c>
      <c r="D196" s="7" t="s">
        <v>441</v>
      </c>
      <c r="E196" s="7" t="s">
        <v>36</v>
      </c>
      <c r="F196" s="7" t="s">
        <v>19</v>
      </c>
      <c r="G196" s="7">
        <v>23</v>
      </c>
      <c r="H196" s="7" t="s">
        <v>56</v>
      </c>
      <c r="I196" s="7" t="s">
        <v>21</v>
      </c>
      <c r="J196" s="7" t="s">
        <v>22</v>
      </c>
      <c r="K196" s="7" t="s">
        <v>23</v>
      </c>
      <c r="L196" s="7" t="s">
        <v>60</v>
      </c>
      <c r="M196" s="7" t="s">
        <v>33</v>
      </c>
      <c r="N196" s="7">
        <v>4</v>
      </c>
      <c r="O196" s="7">
        <v>18156</v>
      </c>
      <c r="P196" s="7">
        <v>61730.400000000001</v>
      </c>
      <c r="Q196" s="9">
        <v>15128.81</v>
      </c>
      <c r="R196" s="17">
        <f t="shared" ref="R196:R259" si="3">Q196/P196</f>
        <v>0.24507876184181537</v>
      </c>
    </row>
    <row r="197" spans="2:18" x14ac:dyDescent="0.3">
      <c r="B197" s="21" t="s">
        <v>442</v>
      </c>
      <c r="C197" s="11">
        <v>45402</v>
      </c>
      <c r="D197" s="10" t="s">
        <v>443</v>
      </c>
      <c r="E197" s="10" t="s">
        <v>93</v>
      </c>
      <c r="F197" s="10" t="s">
        <v>37</v>
      </c>
      <c r="G197" s="10">
        <v>30</v>
      </c>
      <c r="H197" s="10" t="s">
        <v>29</v>
      </c>
      <c r="I197" s="10" t="s">
        <v>21</v>
      </c>
      <c r="J197" s="10" t="s">
        <v>50</v>
      </c>
      <c r="K197" s="10" t="s">
        <v>51</v>
      </c>
      <c r="L197" s="10" t="s">
        <v>24</v>
      </c>
      <c r="M197" s="10" t="s">
        <v>41</v>
      </c>
      <c r="N197" s="10">
        <v>3</v>
      </c>
      <c r="O197" s="10">
        <v>25487</v>
      </c>
      <c r="P197" s="10">
        <v>61168.800000000003</v>
      </c>
      <c r="Q197" s="12">
        <v>18142.02</v>
      </c>
      <c r="R197" s="17">
        <f t="shared" si="3"/>
        <v>0.29658943775257973</v>
      </c>
    </row>
    <row r="198" spans="2:18" x14ac:dyDescent="0.3">
      <c r="B198" s="20" t="s">
        <v>444</v>
      </c>
      <c r="C198" s="8">
        <v>45582</v>
      </c>
      <c r="D198" s="7" t="s">
        <v>445</v>
      </c>
      <c r="E198" s="7" t="s">
        <v>59</v>
      </c>
      <c r="F198" s="7" t="s">
        <v>37</v>
      </c>
      <c r="G198" s="7">
        <v>39</v>
      </c>
      <c r="H198" s="7" t="s">
        <v>66</v>
      </c>
      <c r="I198" s="7" t="s">
        <v>39</v>
      </c>
      <c r="J198" s="7" t="s">
        <v>30</v>
      </c>
      <c r="K198" s="7" t="s">
        <v>51</v>
      </c>
      <c r="L198" s="7" t="s">
        <v>47</v>
      </c>
      <c r="M198" s="7" t="s">
        <v>41</v>
      </c>
      <c r="N198" s="7">
        <v>4</v>
      </c>
      <c r="O198" s="7">
        <v>18285</v>
      </c>
      <c r="P198" s="7">
        <v>58512</v>
      </c>
      <c r="Q198" s="9">
        <v>17137.73</v>
      </c>
      <c r="R198" s="17">
        <f t="shared" si="3"/>
        <v>0.29289256904566585</v>
      </c>
    </row>
    <row r="199" spans="2:18" x14ac:dyDescent="0.3">
      <c r="B199" s="21" t="s">
        <v>446</v>
      </c>
      <c r="C199" s="11">
        <v>45482</v>
      </c>
      <c r="D199" s="10" t="s">
        <v>447</v>
      </c>
      <c r="E199" s="10" t="s">
        <v>44</v>
      </c>
      <c r="F199" s="10" t="s">
        <v>37</v>
      </c>
      <c r="G199" s="10">
        <v>47</v>
      </c>
      <c r="H199" s="10" t="s">
        <v>29</v>
      </c>
      <c r="I199" s="10" t="s">
        <v>21</v>
      </c>
      <c r="J199" s="10" t="s">
        <v>50</v>
      </c>
      <c r="K199" s="10" t="s">
        <v>31</v>
      </c>
      <c r="L199" s="10" t="s">
        <v>47</v>
      </c>
      <c r="M199" s="10" t="s">
        <v>52</v>
      </c>
      <c r="N199" s="10">
        <v>1</v>
      </c>
      <c r="O199" s="10">
        <v>913</v>
      </c>
      <c r="P199" s="10">
        <v>913</v>
      </c>
      <c r="Q199" s="12">
        <v>353.15</v>
      </c>
      <c r="R199" s="17">
        <f t="shared" si="3"/>
        <v>0.38680175246440301</v>
      </c>
    </row>
    <row r="200" spans="2:18" x14ac:dyDescent="0.3">
      <c r="B200" s="20" t="s">
        <v>448</v>
      </c>
      <c r="C200" s="8">
        <v>45343</v>
      </c>
      <c r="D200" s="7" t="s">
        <v>449</v>
      </c>
      <c r="E200" s="7" t="s">
        <v>65</v>
      </c>
      <c r="F200" s="7" t="s">
        <v>37</v>
      </c>
      <c r="G200" s="7">
        <v>50</v>
      </c>
      <c r="H200" s="7" t="s">
        <v>29</v>
      </c>
      <c r="I200" s="7" t="s">
        <v>21</v>
      </c>
      <c r="J200" s="7" t="s">
        <v>30</v>
      </c>
      <c r="K200" s="7" t="s">
        <v>51</v>
      </c>
      <c r="L200" s="7" t="s">
        <v>60</v>
      </c>
      <c r="M200" s="7" t="s">
        <v>52</v>
      </c>
      <c r="N200" s="7">
        <v>1</v>
      </c>
      <c r="O200" s="7">
        <v>35583</v>
      </c>
      <c r="P200" s="7">
        <v>32024.7</v>
      </c>
      <c r="Q200" s="9">
        <v>9478.25</v>
      </c>
      <c r="R200" s="17">
        <f t="shared" si="3"/>
        <v>0.29596686307756198</v>
      </c>
    </row>
    <row r="201" spans="2:18" x14ac:dyDescent="0.3">
      <c r="B201" s="21" t="s">
        <v>450</v>
      </c>
      <c r="C201" s="11">
        <v>45604</v>
      </c>
      <c r="D201" s="10" t="s">
        <v>451</v>
      </c>
      <c r="E201" s="10" t="s">
        <v>44</v>
      </c>
      <c r="F201" s="10" t="s">
        <v>19</v>
      </c>
      <c r="G201" s="10">
        <v>44</v>
      </c>
      <c r="H201" s="10" t="s">
        <v>20</v>
      </c>
      <c r="I201" s="10" t="s">
        <v>21</v>
      </c>
      <c r="J201" s="10" t="s">
        <v>50</v>
      </c>
      <c r="K201" s="10" t="s">
        <v>69</v>
      </c>
      <c r="L201" s="10" t="s">
        <v>32</v>
      </c>
      <c r="M201" s="10" t="s">
        <v>52</v>
      </c>
      <c r="N201" s="10">
        <v>1</v>
      </c>
      <c r="O201" s="10">
        <v>34890</v>
      </c>
      <c r="P201" s="10">
        <v>31401</v>
      </c>
      <c r="Q201" s="12">
        <v>7787.83</v>
      </c>
      <c r="R201" s="17">
        <f t="shared" si="3"/>
        <v>0.24801216521766822</v>
      </c>
    </row>
    <row r="202" spans="2:18" x14ac:dyDescent="0.3">
      <c r="B202" s="20" t="s">
        <v>452</v>
      </c>
      <c r="C202" s="8">
        <v>45454</v>
      </c>
      <c r="D202" s="7" t="s">
        <v>453</v>
      </c>
      <c r="E202" s="7" t="s">
        <v>44</v>
      </c>
      <c r="F202" s="7" t="s">
        <v>37</v>
      </c>
      <c r="G202" s="7">
        <v>24</v>
      </c>
      <c r="H202" s="7" t="s">
        <v>45</v>
      </c>
      <c r="I202" s="7" t="s">
        <v>46</v>
      </c>
      <c r="J202" s="7" t="s">
        <v>50</v>
      </c>
      <c r="K202" s="7" t="s">
        <v>69</v>
      </c>
      <c r="L202" s="7" t="s">
        <v>47</v>
      </c>
      <c r="M202" s="7" t="s">
        <v>52</v>
      </c>
      <c r="N202" s="7">
        <v>2</v>
      </c>
      <c r="O202" s="7">
        <v>30182</v>
      </c>
      <c r="P202" s="7">
        <v>57345.8</v>
      </c>
      <c r="Q202" s="9">
        <v>11949.78</v>
      </c>
      <c r="R202" s="17">
        <f t="shared" si="3"/>
        <v>0.2083810845781208</v>
      </c>
    </row>
    <row r="203" spans="2:18" x14ac:dyDescent="0.3">
      <c r="B203" s="21" t="s">
        <v>454</v>
      </c>
      <c r="C203" s="11">
        <v>45504</v>
      </c>
      <c r="D203" s="10" t="s">
        <v>455</v>
      </c>
      <c r="E203" s="10" t="s">
        <v>76</v>
      </c>
      <c r="F203" s="10" t="s">
        <v>37</v>
      </c>
      <c r="G203" s="10">
        <v>59</v>
      </c>
      <c r="H203" s="10" t="s">
        <v>56</v>
      </c>
      <c r="I203" s="10" t="s">
        <v>21</v>
      </c>
      <c r="J203" s="10" t="s">
        <v>50</v>
      </c>
      <c r="K203" s="10" t="s">
        <v>51</v>
      </c>
      <c r="L203" s="10" t="s">
        <v>47</v>
      </c>
      <c r="M203" s="10" t="s">
        <v>25</v>
      </c>
      <c r="N203" s="10">
        <v>3</v>
      </c>
      <c r="O203" s="10">
        <v>45616</v>
      </c>
      <c r="P203" s="10">
        <v>116320.8</v>
      </c>
      <c r="Q203" s="12">
        <v>35821.589999999997</v>
      </c>
      <c r="R203" s="17">
        <f t="shared" si="3"/>
        <v>0.30795515505395421</v>
      </c>
    </row>
    <row r="204" spans="2:18" x14ac:dyDescent="0.3">
      <c r="B204" s="20" t="s">
        <v>456</v>
      </c>
      <c r="C204" s="8">
        <v>45398</v>
      </c>
      <c r="D204" s="7" t="s">
        <v>457</v>
      </c>
      <c r="E204" s="7" t="s">
        <v>18</v>
      </c>
      <c r="F204" s="7" t="s">
        <v>37</v>
      </c>
      <c r="G204" s="7">
        <v>33</v>
      </c>
      <c r="H204" s="7" t="s">
        <v>20</v>
      </c>
      <c r="I204" s="7" t="s">
        <v>21</v>
      </c>
      <c r="J204" s="7" t="s">
        <v>50</v>
      </c>
      <c r="K204" s="7" t="s">
        <v>51</v>
      </c>
      <c r="L204" s="7" t="s">
        <v>32</v>
      </c>
      <c r="M204" s="7" t="s">
        <v>52</v>
      </c>
      <c r="N204" s="7">
        <v>5</v>
      </c>
      <c r="O204" s="7">
        <v>22863</v>
      </c>
      <c r="P204" s="7">
        <v>108599.25</v>
      </c>
      <c r="Q204" s="9">
        <v>23278.9</v>
      </c>
      <c r="R204" s="17">
        <f t="shared" si="3"/>
        <v>0.21435599232959712</v>
      </c>
    </row>
    <row r="205" spans="2:18" x14ac:dyDescent="0.3">
      <c r="B205" s="21" t="s">
        <v>458</v>
      </c>
      <c r="C205" s="11">
        <v>45314</v>
      </c>
      <c r="D205" s="10" t="s">
        <v>459</v>
      </c>
      <c r="E205" s="10" t="s">
        <v>44</v>
      </c>
      <c r="F205" s="10" t="s">
        <v>37</v>
      </c>
      <c r="G205" s="10">
        <v>54</v>
      </c>
      <c r="H205" s="10" t="s">
        <v>29</v>
      </c>
      <c r="I205" s="10" t="s">
        <v>21</v>
      </c>
      <c r="J205" s="10" t="s">
        <v>50</v>
      </c>
      <c r="K205" s="10" t="s">
        <v>51</v>
      </c>
      <c r="L205" s="10" t="s">
        <v>80</v>
      </c>
      <c r="M205" s="10" t="s">
        <v>33</v>
      </c>
      <c r="N205" s="10">
        <v>1</v>
      </c>
      <c r="O205" s="10">
        <v>21206</v>
      </c>
      <c r="P205" s="10">
        <v>18025.099999999999</v>
      </c>
      <c r="Q205" s="12">
        <v>2943.6</v>
      </c>
      <c r="R205" s="17">
        <f t="shared" si="3"/>
        <v>0.16330561272891692</v>
      </c>
    </row>
    <row r="206" spans="2:18" x14ac:dyDescent="0.3">
      <c r="B206" s="20" t="s">
        <v>460</v>
      </c>
      <c r="C206" s="8">
        <v>45399</v>
      </c>
      <c r="D206" s="7" t="s">
        <v>461</v>
      </c>
      <c r="E206" s="7" t="s">
        <v>76</v>
      </c>
      <c r="F206" s="7" t="s">
        <v>37</v>
      </c>
      <c r="G206" s="7">
        <v>52</v>
      </c>
      <c r="H206" s="7" t="s">
        <v>38</v>
      </c>
      <c r="I206" s="7" t="s">
        <v>21</v>
      </c>
      <c r="J206" s="7" t="s">
        <v>30</v>
      </c>
      <c r="K206" s="7" t="s">
        <v>69</v>
      </c>
      <c r="L206" s="7" t="s">
        <v>32</v>
      </c>
      <c r="M206" s="7" t="s">
        <v>25</v>
      </c>
      <c r="N206" s="7">
        <v>4</v>
      </c>
      <c r="O206" s="7">
        <v>19585</v>
      </c>
      <c r="P206" s="7">
        <v>78340</v>
      </c>
      <c r="Q206" s="9">
        <v>25921.71</v>
      </c>
      <c r="R206" s="17">
        <f t="shared" si="3"/>
        <v>0.33088728618840951</v>
      </c>
    </row>
    <row r="207" spans="2:18" x14ac:dyDescent="0.3">
      <c r="B207" s="21" t="s">
        <v>462</v>
      </c>
      <c r="C207" s="11">
        <v>45589</v>
      </c>
      <c r="D207" s="10" t="s">
        <v>463</v>
      </c>
      <c r="E207" s="10" t="s">
        <v>59</v>
      </c>
      <c r="F207" s="10" t="s">
        <v>19</v>
      </c>
      <c r="G207" s="10">
        <v>48</v>
      </c>
      <c r="H207" s="10" t="s">
        <v>29</v>
      </c>
      <c r="I207" s="10" t="s">
        <v>46</v>
      </c>
      <c r="J207" s="10" t="s">
        <v>30</v>
      </c>
      <c r="K207" s="10" t="s">
        <v>40</v>
      </c>
      <c r="L207" s="10" t="s">
        <v>24</v>
      </c>
      <c r="M207" s="10" t="s">
        <v>52</v>
      </c>
      <c r="N207" s="10">
        <v>5</v>
      </c>
      <c r="O207" s="10">
        <v>29361</v>
      </c>
      <c r="P207" s="10">
        <v>146805</v>
      </c>
      <c r="Q207" s="12">
        <v>54770.559999999998</v>
      </c>
      <c r="R207" s="17">
        <f t="shared" si="3"/>
        <v>0.37308375055345527</v>
      </c>
    </row>
    <row r="208" spans="2:18" x14ac:dyDescent="0.3">
      <c r="B208" s="20" t="s">
        <v>464</v>
      </c>
      <c r="C208" s="8">
        <v>45325</v>
      </c>
      <c r="D208" s="7" t="s">
        <v>465</v>
      </c>
      <c r="E208" s="7" t="s">
        <v>93</v>
      </c>
      <c r="F208" s="7" t="s">
        <v>37</v>
      </c>
      <c r="G208" s="7">
        <v>22</v>
      </c>
      <c r="H208" s="7" t="s">
        <v>56</v>
      </c>
      <c r="I208" s="7" t="s">
        <v>46</v>
      </c>
      <c r="J208" s="7" t="s">
        <v>50</v>
      </c>
      <c r="K208" s="7" t="s">
        <v>40</v>
      </c>
      <c r="L208" s="7" t="s">
        <v>47</v>
      </c>
      <c r="M208" s="7" t="s">
        <v>41</v>
      </c>
      <c r="N208" s="7">
        <v>3</v>
      </c>
      <c r="O208" s="7">
        <v>26452</v>
      </c>
      <c r="P208" s="7">
        <v>63484.800000000003</v>
      </c>
      <c r="Q208" s="9">
        <v>10257.709999999999</v>
      </c>
      <c r="R208" s="17">
        <f t="shared" si="3"/>
        <v>0.1615774169564998</v>
      </c>
    </row>
    <row r="209" spans="2:18" x14ac:dyDescent="0.3">
      <c r="B209" s="21" t="s">
        <v>466</v>
      </c>
      <c r="C209" s="11">
        <v>45381</v>
      </c>
      <c r="D209" s="10" t="s">
        <v>467</v>
      </c>
      <c r="E209" s="10" t="s">
        <v>55</v>
      </c>
      <c r="F209" s="10" t="s">
        <v>37</v>
      </c>
      <c r="G209" s="10">
        <v>46</v>
      </c>
      <c r="H209" s="10" t="s">
        <v>20</v>
      </c>
      <c r="I209" s="10" t="s">
        <v>21</v>
      </c>
      <c r="J209" s="10" t="s">
        <v>30</v>
      </c>
      <c r="K209" s="10" t="s">
        <v>51</v>
      </c>
      <c r="L209" s="10" t="s">
        <v>60</v>
      </c>
      <c r="M209" s="10" t="s">
        <v>52</v>
      </c>
      <c r="N209" s="10">
        <v>1</v>
      </c>
      <c r="O209" s="10">
        <v>24695</v>
      </c>
      <c r="P209" s="10">
        <v>20990.75</v>
      </c>
      <c r="Q209" s="12">
        <v>7040.53</v>
      </c>
      <c r="R209" s="17">
        <f t="shared" si="3"/>
        <v>0.33541107392541952</v>
      </c>
    </row>
    <row r="210" spans="2:18" x14ac:dyDescent="0.3">
      <c r="B210" s="20" t="s">
        <v>468</v>
      </c>
      <c r="C210" s="8">
        <v>45318</v>
      </c>
      <c r="D210" s="7" t="s">
        <v>469</v>
      </c>
      <c r="E210" s="7" t="s">
        <v>55</v>
      </c>
      <c r="F210" s="7" t="s">
        <v>37</v>
      </c>
      <c r="G210" s="7">
        <v>34</v>
      </c>
      <c r="H210" s="7" t="s">
        <v>56</v>
      </c>
      <c r="I210" s="7" t="s">
        <v>21</v>
      </c>
      <c r="J210" s="7" t="s">
        <v>22</v>
      </c>
      <c r="K210" s="7" t="s">
        <v>69</v>
      </c>
      <c r="L210" s="7" t="s">
        <v>32</v>
      </c>
      <c r="M210" s="7" t="s">
        <v>33</v>
      </c>
      <c r="N210" s="7">
        <v>3</v>
      </c>
      <c r="O210" s="7">
        <v>33550</v>
      </c>
      <c r="P210" s="7">
        <v>90585</v>
      </c>
      <c r="Q210" s="9">
        <v>15820.98</v>
      </c>
      <c r="R210" s="17">
        <f t="shared" si="3"/>
        <v>0.17465341944030469</v>
      </c>
    </row>
    <row r="211" spans="2:18" x14ac:dyDescent="0.3">
      <c r="B211" s="21" t="s">
        <v>470</v>
      </c>
      <c r="C211" s="11">
        <v>45379</v>
      </c>
      <c r="D211" s="10" t="s">
        <v>471</v>
      </c>
      <c r="E211" s="10" t="s">
        <v>36</v>
      </c>
      <c r="F211" s="10" t="s">
        <v>19</v>
      </c>
      <c r="G211" s="10">
        <v>57</v>
      </c>
      <c r="H211" s="10" t="s">
        <v>38</v>
      </c>
      <c r="I211" s="10" t="s">
        <v>21</v>
      </c>
      <c r="J211" s="10" t="s">
        <v>50</v>
      </c>
      <c r="K211" s="10" t="s">
        <v>31</v>
      </c>
      <c r="L211" s="10" t="s">
        <v>47</v>
      </c>
      <c r="M211" s="10" t="s">
        <v>33</v>
      </c>
      <c r="N211" s="10">
        <v>1</v>
      </c>
      <c r="O211" s="10">
        <v>45397</v>
      </c>
      <c r="P211" s="10">
        <v>40857.300000000003</v>
      </c>
      <c r="Q211" s="12">
        <v>9153.83</v>
      </c>
      <c r="R211" s="17">
        <f t="shared" si="3"/>
        <v>0.22404392850237287</v>
      </c>
    </row>
    <row r="212" spans="2:18" x14ac:dyDescent="0.3">
      <c r="B212" s="20" t="s">
        <v>472</v>
      </c>
      <c r="C212" s="8">
        <v>45293</v>
      </c>
      <c r="D212" s="7" t="s">
        <v>473</v>
      </c>
      <c r="E212" s="7" t="s">
        <v>93</v>
      </c>
      <c r="F212" s="7" t="s">
        <v>37</v>
      </c>
      <c r="G212" s="7">
        <v>52</v>
      </c>
      <c r="H212" s="7" t="s">
        <v>45</v>
      </c>
      <c r="I212" s="7" t="s">
        <v>46</v>
      </c>
      <c r="J212" s="7" t="s">
        <v>30</v>
      </c>
      <c r="K212" s="7" t="s">
        <v>51</v>
      </c>
      <c r="L212" s="7" t="s">
        <v>32</v>
      </c>
      <c r="M212" s="7" t="s">
        <v>33</v>
      </c>
      <c r="N212" s="7">
        <v>4</v>
      </c>
      <c r="O212" s="7">
        <v>17033</v>
      </c>
      <c r="P212" s="7">
        <v>64725.4</v>
      </c>
      <c r="Q212" s="9">
        <v>12196.65</v>
      </c>
      <c r="R212" s="17">
        <f t="shared" si="3"/>
        <v>0.18843684241426084</v>
      </c>
    </row>
    <row r="213" spans="2:18" x14ac:dyDescent="0.3">
      <c r="B213" s="21" t="s">
        <v>474</v>
      </c>
      <c r="C213" s="11">
        <v>45584</v>
      </c>
      <c r="D213" s="10" t="s">
        <v>475</v>
      </c>
      <c r="E213" s="10" t="s">
        <v>93</v>
      </c>
      <c r="F213" s="10" t="s">
        <v>19</v>
      </c>
      <c r="G213" s="10">
        <v>60</v>
      </c>
      <c r="H213" s="10" t="s">
        <v>66</v>
      </c>
      <c r="I213" s="10" t="s">
        <v>21</v>
      </c>
      <c r="J213" s="10" t="s">
        <v>50</v>
      </c>
      <c r="K213" s="10" t="s">
        <v>40</v>
      </c>
      <c r="L213" s="10" t="s">
        <v>32</v>
      </c>
      <c r="M213" s="10" t="s">
        <v>25</v>
      </c>
      <c r="N213" s="10">
        <v>2</v>
      </c>
      <c r="O213" s="10">
        <v>30390</v>
      </c>
      <c r="P213" s="10">
        <v>51663</v>
      </c>
      <c r="Q213" s="12">
        <v>20102.57</v>
      </c>
      <c r="R213" s="17">
        <f t="shared" si="3"/>
        <v>0.38910961423068735</v>
      </c>
    </row>
    <row r="214" spans="2:18" x14ac:dyDescent="0.3">
      <c r="B214" s="20" t="s">
        <v>476</v>
      </c>
      <c r="C214" s="8">
        <v>45503</v>
      </c>
      <c r="D214" s="7" t="s">
        <v>477</v>
      </c>
      <c r="E214" s="7" t="s">
        <v>36</v>
      </c>
      <c r="F214" s="7" t="s">
        <v>37</v>
      </c>
      <c r="G214" s="7">
        <v>41</v>
      </c>
      <c r="H214" s="7" t="s">
        <v>56</v>
      </c>
      <c r="I214" s="7" t="s">
        <v>39</v>
      </c>
      <c r="J214" s="7" t="s">
        <v>50</v>
      </c>
      <c r="K214" s="7" t="s">
        <v>69</v>
      </c>
      <c r="L214" s="7" t="s">
        <v>60</v>
      </c>
      <c r="M214" s="7" t="s">
        <v>25</v>
      </c>
      <c r="N214" s="7">
        <v>4</v>
      </c>
      <c r="O214" s="7">
        <v>40792</v>
      </c>
      <c r="P214" s="7">
        <v>155009.60000000001</v>
      </c>
      <c r="Q214" s="9">
        <v>55928.52</v>
      </c>
      <c r="R214" s="17">
        <f t="shared" si="3"/>
        <v>0.3608068145456797</v>
      </c>
    </row>
    <row r="215" spans="2:18" x14ac:dyDescent="0.3">
      <c r="B215" s="21" t="s">
        <v>478</v>
      </c>
      <c r="C215" s="11">
        <v>45399</v>
      </c>
      <c r="D215" s="10" t="s">
        <v>479</v>
      </c>
      <c r="E215" s="10" t="s">
        <v>76</v>
      </c>
      <c r="F215" s="10" t="s">
        <v>37</v>
      </c>
      <c r="G215" s="10">
        <v>29</v>
      </c>
      <c r="H215" s="10" t="s">
        <v>45</v>
      </c>
      <c r="I215" s="10" t="s">
        <v>39</v>
      </c>
      <c r="J215" s="10" t="s">
        <v>22</v>
      </c>
      <c r="K215" s="10" t="s">
        <v>23</v>
      </c>
      <c r="L215" s="10" t="s">
        <v>32</v>
      </c>
      <c r="M215" s="10" t="s">
        <v>41</v>
      </c>
      <c r="N215" s="10">
        <v>2</v>
      </c>
      <c r="O215" s="10">
        <v>35588</v>
      </c>
      <c r="P215" s="10">
        <v>60499.6</v>
      </c>
      <c r="Q215" s="12">
        <v>16903.89</v>
      </c>
      <c r="R215" s="17">
        <f t="shared" si="3"/>
        <v>0.27940498780157225</v>
      </c>
    </row>
    <row r="216" spans="2:18" x14ac:dyDescent="0.3">
      <c r="B216" s="20" t="s">
        <v>480</v>
      </c>
      <c r="C216" s="8">
        <v>45391</v>
      </c>
      <c r="D216" s="7" t="s">
        <v>481</v>
      </c>
      <c r="E216" s="7" t="s">
        <v>79</v>
      </c>
      <c r="F216" s="7" t="s">
        <v>37</v>
      </c>
      <c r="G216" s="7">
        <v>30</v>
      </c>
      <c r="H216" s="7" t="s">
        <v>29</v>
      </c>
      <c r="I216" s="7" t="s">
        <v>21</v>
      </c>
      <c r="J216" s="7" t="s">
        <v>22</v>
      </c>
      <c r="K216" s="7" t="s">
        <v>51</v>
      </c>
      <c r="L216" s="7" t="s">
        <v>32</v>
      </c>
      <c r="M216" s="7" t="s">
        <v>52</v>
      </c>
      <c r="N216" s="7">
        <v>1</v>
      </c>
      <c r="O216" s="7">
        <v>25990</v>
      </c>
      <c r="P216" s="7">
        <v>23391</v>
      </c>
      <c r="Q216" s="9">
        <v>5225.66</v>
      </c>
      <c r="R216" s="17">
        <f t="shared" si="3"/>
        <v>0.22340472831430891</v>
      </c>
    </row>
    <row r="217" spans="2:18" x14ac:dyDescent="0.3">
      <c r="B217" s="21" t="s">
        <v>482</v>
      </c>
      <c r="C217" s="11">
        <v>45551</v>
      </c>
      <c r="D217" s="10" t="s">
        <v>483</v>
      </c>
      <c r="E217" s="10" t="s">
        <v>76</v>
      </c>
      <c r="F217" s="10" t="s">
        <v>19</v>
      </c>
      <c r="G217" s="10">
        <v>32</v>
      </c>
      <c r="H217" s="10" t="s">
        <v>38</v>
      </c>
      <c r="I217" s="10" t="s">
        <v>21</v>
      </c>
      <c r="J217" s="10" t="s">
        <v>50</v>
      </c>
      <c r="K217" s="10" t="s">
        <v>40</v>
      </c>
      <c r="L217" s="10" t="s">
        <v>24</v>
      </c>
      <c r="M217" s="10" t="s">
        <v>33</v>
      </c>
      <c r="N217" s="10">
        <v>3</v>
      </c>
      <c r="O217" s="10">
        <v>6500</v>
      </c>
      <c r="P217" s="10">
        <v>16575</v>
      </c>
      <c r="Q217" s="12">
        <v>4785.3900000000003</v>
      </c>
      <c r="R217" s="17">
        <f t="shared" si="3"/>
        <v>0.28871131221719459</v>
      </c>
    </row>
    <row r="218" spans="2:18" x14ac:dyDescent="0.3">
      <c r="B218" s="20" t="s">
        <v>484</v>
      </c>
      <c r="C218" s="8">
        <v>45518</v>
      </c>
      <c r="D218" s="7" t="s">
        <v>485</v>
      </c>
      <c r="E218" s="7" t="s">
        <v>93</v>
      </c>
      <c r="F218" s="7" t="s">
        <v>37</v>
      </c>
      <c r="G218" s="7">
        <v>28</v>
      </c>
      <c r="H218" s="7" t="s">
        <v>29</v>
      </c>
      <c r="I218" s="7" t="s">
        <v>46</v>
      </c>
      <c r="J218" s="7" t="s">
        <v>22</v>
      </c>
      <c r="K218" s="7" t="s">
        <v>40</v>
      </c>
      <c r="L218" s="7" t="s">
        <v>47</v>
      </c>
      <c r="M218" s="7" t="s">
        <v>41</v>
      </c>
      <c r="N218" s="7">
        <v>3</v>
      </c>
      <c r="O218" s="7">
        <v>16360</v>
      </c>
      <c r="P218" s="7">
        <v>39264</v>
      </c>
      <c r="Q218" s="9">
        <v>8551.44</v>
      </c>
      <c r="R218" s="17">
        <f t="shared" si="3"/>
        <v>0.21779339853300736</v>
      </c>
    </row>
    <row r="219" spans="2:18" x14ac:dyDescent="0.3">
      <c r="B219" s="21" t="s">
        <v>486</v>
      </c>
      <c r="C219" s="11">
        <v>45656</v>
      </c>
      <c r="D219" s="10" t="s">
        <v>487</v>
      </c>
      <c r="E219" s="10" t="s">
        <v>44</v>
      </c>
      <c r="F219" s="10" t="s">
        <v>19</v>
      </c>
      <c r="G219" s="10">
        <v>53</v>
      </c>
      <c r="H219" s="10" t="s">
        <v>20</v>
      </c>
      <c r="I219" s="10" t="s">
        <v>39</v>
      </c>
      <c r="J219" s="10" t="s">
        <v>50</v>
      </c>
      <c r="K219" s="10" t="s">
        <v>40</v>
      </c>
      <c r="L219" s="10" t="s">
        <v>47</v>
      </c>
      <c r="M219" s="10" t="s">
        <v>52</v>
      </c>
      <c r="N219" s="10">
        <v>2</v>
      </c>
      <c r="O219" s="10">
        <v>20490</v>
      </c>
      <c r="P219" s="10">
        <v>36882</v>
      </c>
      <c r="Q219" s="12">
        <v>6719.47</v>
      </c>
      <c r="R219" s="17">
        <f t="shared" si="3"/>
        <v>0.18218833035084867</v>
      </c>
    </row>
    <row r="220" spans="2:18" x14ac:dyDescent="0.3">
      <c r="B220" s="20" t="s">
        <v>488</v>
      </c>
      <c r="C220" s="8">
        <v>45483</v>
      </c>
      <c r="D220" s="7" t="s">
        <v>489</v>
      </c>
      <c r="E220" s="7" t="s">
        <v>28</v>
      </c>
      <c r="F220" s="7" t="s">
        <v>37</v>
      </c>
      <c r="G220" s="7">
        <v>28</v>
      </c>
      <c r="H220" s="7" t="s">
        <v>29</v>
      </c>
      <c r="I220" s="7" t="s">
        <v>39</v>
      </c>
      <c r="J220" s="7" t="s">
        <v>50</v>
      </c>
      <c r="K220" s="7" t="s">
        <v>51</v>
      </c>
      <c r="L220" s="7" t="s">
        <v>80</v>
      </c>
      <c r="M220" s="7" t="s">
        <v>41</v>
      </c>
      <c r="N220" s="7">
        <v>3</v>
      </c>
      <c r="O220" s="7">
        <v>37710</v>
      </c>
      <c r="P220" s="7">
        <v>113130</v>
      </c>
      <c r="Q220" s="9">
        <v>35140.86</v>
      </c>
      <c r="R220" s="17">
        <f t="shared" si="3"/>
        <v>0.31062370723945903</v>
      </c>
    </row>
    <row r="221" spans="2:18" x14ac:dyDescent="0.3">
      <c r="B221" s="21" t="s">
        <v>490</v>
      </c>
      <c r="C221" s="11">
        <v>45333</v>
      </c>
      <c r="D221" s="10" t="s">
        <v>491</v>
      </c>
      <c r="E221" s="10" t="s">
        <v>79</v>
      </c>
      <c r="F221" s="10" t="s">
        <v>19</v>
      </c>
      <c r="G221" s="10">
        <v>25</v>
      </c>
      <c r="H221" s="10" t="s">
        <v>20</v>
      </c>
      <c r="I221" s="10" t="s">
        <v>39</v>
      </c>
      <c r="J221" s="10" t="s">
        <v>30</v>
      </c>
      <c r="K221" s="10" t="s">
        <v>51</v>
      </c>
      <c r="L221" s="10" t="s">
        <v>60</v>
      </c>
      <c r="M221" s="10" t="s">
        <v>33</v>
      </c>
      <c r="N221" s="10">
        <v>5</v>
      </c>
      <c r="O221" s="10">
        <v>38569</v>
      </c>
      <c r="P221" s="10">
        <v>154276</v>
      </c>
      <c r="Q221" s="12">
        <v>55511.9</v>
      </c>
      <c r="R221" s="17">
        <f t="shared" si="3"/>
        <v>0.35982200731157149</v>
      </c>
    </row>
    <row r="222" spans="2:18" x14ac:dyDescent="0.3">
      <c r="B222" s="20" t="s">
        <v>492</v>
      </c>
      <c r="C222" s="8">
        <v>45359</v>
      </c>
      <c r="D222" s="7" t="s">
        <v>493</v>
      </c>
      <c r="E222" s="7" t="s">
        <v>18</v>
      </c>
      <c r="F222" s="7" t="s">
        <v>19</v>
      </c>
      <c r="G222" s="7">
        <v>51</v>
      </c>
      <c r="H222" s="7" t="s">
        <v>38</v>
      </c>
      <c r="I222" s="7" t="s">
        <v>21</v>
      </c>
      <c r="J222" s="7" t="s">
        <v>50</v>
      </c>
      <c r="K222" s="7" t="s">
        <v>51</v>
      </c>
      <c r="L222" s="7" t="s">
        <v>32</v>
      </c>
      <c r="M222" s="7" t="s">
        <v>52</v>
      </c>
      <c r="N222" s="7">
        <v>3</v>
      </c>
      <c r="O222" s="7">
        <v>9981</v>
      </c>
      <c r="P222" s="7">
        <v>28445.85</v>
      </c>
      <c r="Q222" s="9">
        <v>8907.67</v>
      </c>
      <c r="R222" s="17">
        <f t="shared" si="3"/>
        <v>0.31314479968079706</v>
      </c>
    </row>
    <row r="223" spans="2:18" x14ac:dyDescent="0.3">
      <c r="B223" s="21" t="s">
        <v>494</v>
      </c>
      <c r="C223" s="11">
        <v>45604</v>
      </c>
      <c r="D223" s="10" t="s">
        <v>495</v>
      </c>
      <c r="E223" s="10" t="s">
        <v>93</v>
      </c>
      <c r="F223" s="10" t="s">
        <v>37</v>
      </c>
      <c r="G223" s="10">
        <v>59</v>
      </c>
      <c r="H223" s="10" t="s">
        <v>56</v>
      </c>
      <c r="I223" s="10" t="s">
        <v>46</v>
      </c>
      <c r="J223" s="10" t="s">
        <v>50</v>
      </c>
      <c r="K223" s="10" t="s">
        <v>31</v>
      </c>
      <c r="L223" s="10" t="s">
        <v>32</v>
      </c>
      <c r="M223" s="10" t="s">
        <v>41</v>
      </c>
      <c r="N223" s="10">
        <v>4</v>
      </c>
      <c r="O223" s="10">
        <v>541</v>
      </c>
      <c r="P223" s="10">
        <v>1947.6</v>
      </c>
      <c r="Q223" s="12">
        <v>434.18</v>
      </c>
      <c r="R223" s="17">
        <f t="shared" si="3"/>
        <v>0.22293078660915999</v>
      </c>
    </row>
    <row r="224" spans="2:18" x14ac:dyDescent="0.3">
      <c r="B224" s="20" t="s">
        <v>496</v>
      </c>
      <c r="C224" s="8">
        <v>45337</v>
      </c>
      <c r="D224" s="7" t="s">
        <v>497</v>
      </c>
      <c r="E224" s="7" t="s">
        <v>59</v>
      </c>
      <c r="F224" s="7" t="s">
        <v>19</v>
      </c>
      <c r="G224" s="7">
        <v>24</v>
      </c>
      <c r="H224" s="7" t="s">
        <v>20</v>
      </c>
      <c r="I224" s="7" t="s">
        <v>46</v>
      </c>
      <c r="J224" s="7" t="s">
        <v>30</v>
      </c>
      <c r="K224" s="7" t="s">
        <v>40</v>
      </c>
      <c r="L224" s="7" t="s">
        <v>47</v>
      </c>
      <c r="M224" s="7" t="s">
        <v>33</v>
      </c>
      <c r="N224" s="7">
        <v>3</v>
      </c>
      <c r="O224" s="7">
        <v>25531</v>
      </c>
      <c r="P224" s="7">
        <v>76593</v>
      </c>
      <c r="Q224" s="9">
        <v>15518.81</v>
      </c>
      <c r="R224" s="17">
        <f t="shared" si="3"/>
        <v>0.20261394644419203</v>
      </c>
    </row>
    <row r="225" spans="2:18" x14ac:dyDescent="0.3">
      <c r="B225" s="21" t="s">
        <v>498</v>
      </c>
      <c r="C225" s="11">
        <v>45630</v>
      </c>
      <c r="D225" s="10" t="s">
        <v>499</v>
      </c>
      <c r="E225" s="10" t="s">
        <v>55</v>
      </c>
      <c r="F225" s="10" t="s">
        <v>37</v>
      </c>
      <c r="G225" s="10">
        <v>20</v>
      </c>
      <c r="H225" s="10" t="s">
        <v>38</v>
      </c>
      <c r="I225" s="10" t="s">
        <v>39</v>
      </c>
      <c r="J225" s="10" t="s">
        <v>22</v>
      </c>
      <c r="K225" s="10" t="s">
        <v>31</v>
      </c>
      <c r="L225" s="10" t="s">
        <v>32</v>
      </c>
      <c r="M225" s="10" t="s">
        <v>25</v>
      </c>
      <c r="N225" s="10">
        <v>4</v>
      </c>
      <c r="O225" s="10">
        <v>39544</v>
      </c>
      <c r="P225" s="10">
        <v>142358.39999999999</v>
      </c>
      <c r="Q225" s="12">
        <v>36006.959999999999</v>
      </c>
      <c r="R225" s="17">
        <f t="shared" si="3"/>
        <v>0.25293175534425788</v>
      </c>
    </row>
    <row r="226" spans="2:18" x14ac:dyDescent="0.3">
      <c r="B226" s="20" t="s">
        <v>500</v>
      </c>
      <c r="C226" s="8">
        <v>45359</v>
      </c>
      <c r="D226" s="7" t="s">
        <v>501</v>
      </c>
      <c r="E226" s="7" t="s">
        <v>44</v>
      </c>
      <c r="F226" s="7" t="s">
        <v>19</v>
      </c>
      <c r="G226" s="7">
        <v>55</v>
      </c>
      <c r="H226" s="7" t="s">
        <v>66</v>
      </c>
      <c r="I226" s="7" t="s">
        <v>46</v>
      </c>
      <c r="J226" s="7" t="s">
        <v>22</v>
      </c>
      <c r="K226" s="7" t="s">
        <v>69</v>
      </c>
      <c r="L226" s="7" t="s">
        <v>47</v>
      </c>
      <c r="M226" s="7" t="s">
        <v>52</v>
      </c>
      <c r="N226" s="7">
        <v>1</v>
      </c>
      <c r="O226" s="7">
        <v>22215</v>
      </c>
      <c r="P226" s="7">
        <v>21104.25</v>
      </c>
      <c r="Q226" s="9">
        <v>6901.45</v>
      </c>
      <c r="R226" s="17">
        <f t="shared" si="3"/>
        <v>0.32701707002144115</v>
      </c>
    </row>
    <row r="227" spans="2:18" x14ac:dyDescent="0.3">
      <c r="B227" s="21" t="s">
        <v>502</v>
      </c>
      <c r="C227" s="11">
        <v>45509</v>
      </c>
      <c r="D227" s="10" t="s">
        <v>503</v>
      </c>
      <c r="E227" s="10" t="s">
        <v>76</v>
      </c>
      <c r="F227" s="10" t="s">
        <v>37</v>
      </c>
      <c r="G227" s="10">
        <v>45</v>
      </c>
      <c r="H227" s="10" t="s">
        <v>56</v>
      </c>
      <c r="I227" s="10" t="s">
        <v>21</v>
      </c>
      <c r="J227" s="10" t="s">
        <v>22</v>
      </c>
      <c r="K227" s="10" t="s">
        <v>51</v>
      </c>
      <c r="L227" s="10" t="s">
        <v>60</v>
      </c>
      <c r="M227" s="10" t="s">
        <v>52</v>
      </c>
      <c r="N227" s="10">
        <v>2</v>
      </c>
      <c r="O227" s="10">
        <v>22006</v>
      </c>
      <c r="P227" s="10">
        <v>41811.4</v>
      </c>
      <c r="Q227" s="12">
        <v>9512.5</v>
      </c>
      <c r="R227" s="17">
        <f t="shared" si="3"/>
        <v>0.22750972222886581</v>
      </c>
    </row>
    <row r="228" spans="2:18" x14ac:dyDescent="0.3">
      <c r="B228" s="20" t="s">
        <v>504</v>
      </c>
      <c r="C228" s="8">
        <v>45615</v>
      </c>
      <c r="D228" s="7" t="s">
        <v>505</v>
      </c>
      <c r="E228" s="7" t="s">
        <v>28</v>
      </c>
      <c r="F228" s="7" t="s">
        <v>37</v>
      </c>
      <c r="G228" s="7">
        <v>52</v>
      </c>
      <c r="H228" s="7" t="s">
        <v>38</v>
      </c>
      <c r="I228" s="7" t="s">
        <v>39</v>
      </c>
      <c r="J228" s="7" t="s">
        <v>22</v>
      </c>
      <c r="K228" s="7" t="s">
        <v>69</v>
      </c>
      <c r="L228" s="7" t="s">
        <v>32</v>
      </c>
      <c r="M228" s="7" t="s">
        <v>33</v>
      </c>
      <c r="N228" s="7">
        <v>3</v>
      </c>
      <c r="O228" s="7">
        <v>2121</v>
      </c>
      <c r="P228" s="7">
        <v>5090.3999999999996</v>
      </c>
      <c r="Q228" s="9">
        <v>1849.12</v>
      </c>
      <c r="R228" s="17">
        <f t="shared" si="3"/>
        <v>0.36325632563256327</v>
      </c>
    </row>
    <row r="229" spans="2:18" x14ac:dyDescent="0.3">
      <c r="B229" s="21" t="s">
        <v>506</v>
      </c>
      <c r="C229" s="11">
        <v>45640</v>
      </c>
      <c r="D229" s="10" t="s">
        <v>507</v>
      </c>
      <c r="E229" s="10" t="s">
        <v>36</v>
      </c>
      <c r="F229" s="10" t="s">
        <v>37</v>
      </c>
      <c r="G229" s="10">
        <v>18</v>
      </c>
      <c r="H229" s="10" t="s">
        <v>56</v>
      </c>
      <c r="I229" s="10" t="s">
        <v>39</v>
      </c>
      <c r="J229" s="10" t="s">
        <v>50</v>
      </c>
      <c r="K229" s="10" t="s">
        <v>51</v>
      </c>
      <c r="L229" s="10" t="s">
        <v>80</v>
      </c>
      <c r="M229" s="10" t="s">
        <v>33</v>
      </c>
      <c r="N229" s="10">
        <v>1</v>
      </c>
      <c r="O229" s="10">
        <v>1429</v>
      </c>
      <c r="P229" s="10">
        <v>1429</v>
      </c>
      <c r="Q229" s="12">
        <v>542.17999999999995</v>
      </c>
      <c r="R229" s="17">
        <f t="shared" si="3"/>
        <v>0.37941217634709584</v>
      </c>
    </row>
    <row r="230" spans="2:18" x14ac:dyDescent="0.3">
      <c r="B230" s="20" t="s">
        <v>508</v>
      </c>
      <c r="C230" s="8">
        <v>45390</v>
      </c>
      <c r="D230" s="7" t="s">
        <v>509</v>
      </c>
      <c r="E230" s="7" t="s">
        <v>65</v>
      </c>
      <c r="F230" s="7" t="s">
        <v>19</v>
      </c>
      <c r="G230" s="7">
        <v>31</v>
      </c>
      <c r="H230" s="7" t="s">
        <v>56</v>
      </c>
      <c r="I230" s="7" t="s">
        <v>21</v>
      </c>
      <c r="J230" s="7" t="s">
        <v>50</v>
      </c>
      <c r="K230" s="7" t="s">
        <v>31</v>
      </c>
      <c r="L230" s="7" t="s">
        <v>80</v>
      </c>
      <c r="M230" s="7" t="s">
        <v>41</v>
      </c>
      <c r="N230" s="7">
        <v>3</v>
      </c>
      <c r="O230" s="7">
        <v>7507</v>
      </c>
      <c r="P230" s="7">
        <v>19142.849999999999</v>
      </c>
      <c r="Q230" s="9">
        <v>7615.94</v>
      </c>
      <c r="R230" s="17">
        <f t="shared" si="3"/>
        <v>0.39784776039095537</v>
      </c>
    </row>
    <row r="231" spans="2:18" x14ac:dyDescent="0.3">
      <c r="B231" s="21" t="s">
        <v>510</v>
      </c>
      <c r="C231" s="11">
        <v>45451</v>
      </c>
      <c r="D231" s="10" t="s">
        <v>511</v>
      </c>
      <c r="E231" s="10" t="s">
        <v>18</v>
      </c>
      <c r="F231" s="10" t="s">
        <v>37</v>
      </c>
      <c r="G231" s="10">
        <v>57</v>
      </c>
      <c r="H231" s="10" t="s">
        <v>45</v>
      </c>
      <c r="I231" s="10" t="s">
        <v>46</v>
      </c>
      <c r="J231" s="10" t="s">
        <v>50</v>
      </c>
      <c r="K231" s="10" t="s">
        <v>40</v>
      </c>
      <c r="L231" s="10" t="s">
        <v>80</v>
      </c>
      <c r="M231" s="10" t="s">
        <v>52</v>
      </c>
      <c r="N231" s="10">
        <v>5</v>
      </c>
      <c r="O231" s="10">
        <v>33866</v>
      </c>
      <c r="P231" s="10">
        <v>143930.5</v>
      </c>
      <c r="Q231" s="12">
        <v>24555.93</v>
      </c>
      <c r="R231" s="17">
        <f t="shared" si="3"/>
        <v>0.17060963451110084</v>
      </c>
    </row>
    <row r="232" spans="2:18" x14ac:dyDescent="0.3">
      <c r="B232" s="20" t="s">
        <v>512</v>
      </c>
      <c r="C232" s="8">
        <v>45461</v>
      </c>
      <c r="D232" s="7" t="s">
        <v>513</v>
      </c>
      <c r="E232" s="7" t="s">
        <v>55</v>
      </c>
      <c r="F232" s="7" t="s">
        <v>19</v>
      </c>
      <c r="G232" s="7">
        <v>55</v>
      </c>
      <c r="H232" s="7" t="s">
        <v>29</v>
      </c>
      <c r="I232" s="7" t="s">
        <v>39</v>
      </c>
      <c r="J232" s="7" t="s">
        <v>30</v>
      </c>
      <c r="K232" s="7" t="s">
        <v>69</v>
      </c>
      <c r="L232" s="7" t="s">
        <v>32</v>
      </c>
      <c r="M232" s="7" t="s">
        <v>41</v>
      </c>
      <c r="N232" s="7">
        <v>4</v>
      </c>
      <c r="O232" s="7">
        <v>25930</v>
      </c>
      <c r="P232" s="7">
        <v>93348</v>
      </c>
      <c r="Q232" s="9">
        <v>22453.21</v>
      </c>
      <c r="R232" s="17">
        <f t="shared" si="3"/>
        <v>0.24053230920855292</v>
      </c>
    </row>
    <row r="233" spans="2:18" x14ac:dyDescent="0.3">
      <c r="B233" s="21" t="s">
        <v>514</v>
      </c>
      <c r="C233" s="11">
        <v>45307</v>
      </c>
      <c r="D233" s="10" t="s">
        <v>515</v>
      </c>
      <c r="E233" s="10" t="s">
        <v>76</v>
      </c>
      <c r="F233" s="10" t="s">
        <v>19</v>
      </c>
      <c r="G233" s="10">
        <v>55</v>
      </c>
      <c r="H233" s="10" t="s">
        <v>38</v>
      </c>
      <c r="I233" s="10" t="s">
        <v>21</v>
      </c>
      <c r="J233" s="10" t="s">
        <v>22</v>
      </c>
      <c r="K233" s="10" t="s">
        <v>31</v>
      </c>
      <c r="L233" s="10" t="s">
        <v>32</v>
      </c>
      <c r="M233" s="10" t="s">
        <v>41</v>
      </c>
      <c r="N233" s="10">
        <v>3</v>
      </c>
      <c r="O233" s="10">
        <v>16249</v>
      </c>
      <c r="P233" s="10">
        <v>48747</v>
      </c>
      <c r="Q233" s="12">
        <v>8175.25</v>
      </c>
      <c r="R233" s="17">
        <f t="shared" si="3"/>
        <v>0.16770775637475127</v>
      </c>
    </row>
    <row r="234" spans="2:18" x14ac:dyDescent="0.3">
      <c r="B234" s="20" t="s">
        <v>516</v>
      </c>
      <c r="C234" s="8">
        <v>45651</v>
      </c>
      <c r="D234" s="7" t="s">
        <v>517</v>
      </c>
      <c r="E234" s="7" t="s">
        <v>36</v>
      </c>
      <c r="F234" s="7" t="s">
        <v>19</v>
      </c>
      <c r="G234" s="7">
        <v>42</v>
      </c>
      <c r="H234" s="7" t="s">
        <v>29</v>
      </c>
      <c r="I234" s="7" t="s">
        <v>21</v>
      </c>
      <c r="J234" s="7" t="s">
        <v>22</v>
      </c>
      <c r="K234" s="7" t="s">
        <v>69</v>
      </c>
      <c r="L234" s="7" t="s">
        <v>24</v>
      </c>
      <c r="M234" s="7" t="s">
        <v>33</v>
      </c>
      <c r="N234" s="7">
        <v>1</v>
      </c>
      <c r="O234" s="7">
        <v>44459</v>
      </c>
      <c r="P234" s="7">
        <v>40013.1</v>
      </c>
      <c r="Q234" s="9">
        <v>13491.59</v>
      </c>
      <c r="R234" s="17">
        <f t="shared" si="3"/>
        <v>0.33717932377146487</v>
      </c>
    </row>
    <row r="235" spans="2:18" x14ac:dyDescent="0.3">
      <c r="B235" s="21" t="s">
        <v>518</v>
      </c>
      <c r="C235" s="11">
        <v>45387</v>
      </c>
      <c r="D235" s="10" t="s">
        <v>519</v>
      </c>
      <c r="E235" s="10" t="s">
        <v>36</v>
      </c>
      <c r="F235" s="10" t="s">
        <v>37</v>
      </c>
      <c r="G235" s="10">
        <v>50</v>
      </c>
      <c r="H235" s="10" t="s">
        <v>38</v>
      </c>
      <c r="I235" s="10" t="s">
        <v>21</v>
      </c>
      <c r="J235" s="10" t="s">
        <v>30</v>
      </c>
      <c r="K235" s="10" t="s">
        <v>23</v>
      </c>
      <c r="L235" s="10" t="s">
        <v>60</v>
      </c>
      <c r="M235" s="10" t="s">
        <v>25</v>
      </c>
      <c r="N235" s="10">
        <v>4</v>
      </c>
      <c r="O235" s="10">
        <v>23873</v>
      </c>
      <c r="P235" s="10">
        <v>76393.600000000006</v>
      </c>
      <c r="Q235" s="12">
        <v>20161.509999999998</v>
      </c>
      <c r="R235" s="17">
        <f t="shared" si="3"/>
        <v>0.26391621811251198</v>
      </c>
    </row>
    <row r="236" spans="2:18" x14ac:dyDescent="0.3">
      <c r="B236" s="20" t="s">
        <v>520</v>
      </c>
      <c r="C236" s="8">
        <v>45477</v>
      </c>
      <c r="D236" s="7" t="s">
        <v>521</v>
      </c>
      <c r="E236" s="7" t="s">
        <v>79</v>
      </c>
      <c r="F236" s="7" t="s">
        <v>37</v>
      </c>
      <c r="G236" s="7">
        <v>47</v>
      </c>
      <c r="H236" s="7" t="s">
        <v>66</v>
      </c>
      <c r="I236" s="7" t="s">
        <v>21</v>
      </c>
      <c r="J236" s="7" t="s">
        <v>22</v>
      </c>
      <c r="K236" s="7" t="s">
        <v>69</v>
      </c>
      <c r="L236" s="7" t="s">
        <v>24</v>
      </c>
      <c r="M236" s="7" t="s">
        <v>52</v>
      </c>
      <c r="N236" s="7">
        <v>4</v>
      </c>
      <c r="O236" s="7">
        <v>10767</v>
      </c>
      <c r="P236" s="7">
        <v>34454.400000000001</v>
      </c>
      <c r="Q236" s="9">
        <v>11824.64</v>
      </c>
      <c r="R236" s="17">
        <f t="shared" si="3"/>
        <v>0.34319680505247513</v>
      </c>
    </row>
    <row r="237" spans="2:18" x14ac:dyDescent="0.3">
      <c r="B237" s="21" t="s">
        <v>522</v>
      </c>
      <c r="C237" s="11">
        <v>45440</v>
      </c>
      <c r="D237" s="10" t="s">
        <v>523</v>
      </c>
      <c r="E237" s="10" t="s">
        <v>79</v>
      </c>
      <c r="F237" s="10" t="s">
        <v>37</v>
      </c>
      <c r="G237" s="10">
        <v>35</v>
      </c>
      <c r="H237" s="10" t="s">
        <v>38</v>
      </c>
      <c r="I237" s="10" t="s">
        <v>46</v>
      </c>
      <c r="J237" s="10" t="s">
        <v>50</v>
      </c>
      <c r="K237" s="10" t="s">
        <v>51</v>
      </c>
      <c r="L237" s="10" t="s">
        <v>47</v>
      </c>
      <c r="M237" s="10" t="s">
        <v>52</v>
      </c>
      <c r="N237" s="10">
        <v>2</v>
      </c>
      <c r="O237" s="10">
        <v>17432</v>
      </c>
      <c r="P237" s="10">
        <v>34864</v>
      </c>
      <c r="Q237" s="12">
        <v>10484.790000000001</v>
      </c>
      <c r="R237" s="17">
        <f t="shared" si="3"/>
        <v>0.3007339949518128</v>
      </c>
    </row>
    <row r="238" spans="2:18" x14ac:dyDescent="0.3">
      <c r="B238" s="20" t="s">
        <v>524</v>
      </c>
      <c r="C238" s="8">
        <v>45342</v>
      </c>
      <c r="D238" s="7" t="s">
        <v>525</v>
      </c>
      <c r="E238" s="7" t="s">
        <v>18</v>
      </c>
      <c r="F238" s="7" t="s">
        <v>19</v>
      </c>
      <c r="G238" s="7">
        <v>48</v>
      </c>
      <c r="H238" s="7" t="s">
        <v>20</v>
      </c>
      <c r="I238" s="7" t="s">
        <v>21</v>
      </c>
      <c r="J238" s="7" t="s">
        <v>22</v>
      </c>
      <c r="K238" s="7" t="s">
        <v>51</v>
      </c>
      <c r="L238" s="7" t="s">
        <v>47</v>
      </c>
      <c r="M238" s="7" t="s">
        <v>25</v>
      </c>
      <c r="N238" s="7">
        <v>2</v>
      </c>
      <c r="O238" s="7">
        <v>13525</v>
      </c>
      <c r="P238" s="7">
        <v>24345</v>
      </c>
      <c r="Q238" s="9">
        <v>3800.74</v>
      </c>
      <c r="R238" s="17">
        <f t="shared" si="3"/>
        <v>0.15611994249332511</v>
      </c>
    </row>
    <row r="239" spans="2:18" x14ac:dyDescent="0.3">
      <c r="B239" s="21" t="s">
        <v>526</v>
      </c>
      <c r="C239" s="11">
        <v>45381</v>
      </c>
      <c r="D239" s="10" t="s">
        <v>527</v>
      </c>
      <c r="E239" s="10" t="s">
        <v>93</v>
      </c>
      <c r="F239" s="10" t="s">
        <v>37</v>
      </c>
      <c r="G239" s="10">
        <v>19</v>
      </c>
      <c r="H239" s="10" t="s">
        <v>38</v>
      </c>
      <c r="I239" s="10" t="s">
        <v>21</v>
      </c>
      <c r="J239" s="10" t="s">
        <v>30</v>
      </c>
      <c r="K239" s="10" t="s">
        <v>69</v>
      </c>
      <c r="L239" s="10" t="s">
        <v>80</v>
      </c>
      <c r="M239" s="10" t="s">
        <v>41</v>
      </c>
      <c r="N239" s="10">
        <v>3</v>
      </c>
      <c r="O239" s="10">
        <v>45832</v>
      </c>
      <c r="P239" s="10">
        <v>109996.8</v>
      </c>
      <c r="Q239" s="12">
        <v>36485.980000000003</v>
      </c>
      <c r="R239" s="17">
        <f t="shared" si="3"/>
        <v>0.33170037673823238</v>
      </c>
    </row>
    <row r="240" spans="2:18" x14ac:dyDescent="0.3">
      <c r="B240" s="20" t="s">
        <v>528</v>
      </c>
      <c r="C240" s="8">
        <v>45355</v>
      </c>
      <c r="D240" s="7" t="s">
        <v>529</v>
      </c>
      <c r="E240" s="7" t="s">
        <v>59</v>
      </c>
      <c r="F240" s="7" t="s">
        <v>37</v>
      </c>
      <c r="G240" s="7">
        <v>41</v>
      </c>
      <c r="H240" s="7" t="s">
        <v>56</v>
      </c>
      <c r="I240" s="7" t="s">
        <v>39</v>
      </c>
      <c r="J240" s="7" t="s">
        <v>22</v>
      </c>
      <c r="K240" s="7" t="s">
        <v>69</v>
      </c>
      <c r="L240" s="7" t="s">
        <v>47</v>
      </c>
      <c r="M240" s="7" t="s">
        <v>41</v>
      </c>
      <c r="N240" s="7">
        <v>4</v>
      </c>
      <c r="O240" s="7">
        <v>48662</v>
      </c>
      <c r="P240" s="7">
        <v>175183.2</v>
      </c>
      <c r="Q240" s="9">
        <v>61045.3</v>
      </c>
      <c r="R240" s="17">
        <f t="shared" si="3"/>
        <v>0.34846549212481559</v>
      </c>
    </row>
    <row r="241" spans="2:18" x14ac:dyDescent="0.3">
      <c r="B241" s="21" t="s">
        <v>530</v>
      </c>
      <c r="C241" s="11">
        <v>45442</v>
      </c>
      <c r="D241" s="10" t="s">
        <v>531</v>
      </c>
      <c r="E241" s="10" t="s">
        <v>93</v>
      </c>
      <c r="F241" s="10" t="s">
        <v>19</v>
      </c>
      <c r="G241" s="10">
        <v>32</v>
      </c>
      <c r="H241" s="10" t="s">
        <v>66</v>
      </c>
      <c r="I241" s="10" t="s">
        <v>46</v>
      </c>
      <c r="J241" s="10" t="s">
        <v>30</v>
      </c>
      <c r="K241" s="10" t="s">
        <v>69</v>
      </c>
      <c r="L241" s="10" t="s">
        <v>32</v>
      </c>
      <c r="M241" s="10" t="s">
        <v>52</v>
      </c>
      <c r="N241" s="10">
        <v>3</v>
      </c>
      <c r="O241" s="10">
        <v>8306</v>
      </c>
      <c r="P241" s="10">
        <v>19934.400000000001</v>
      </c>
      <c r="Q241" s="12">
        <v>3565.42</v>
      </c>
      <c r="R241" s="17">
        <f t="shared" si="3"/>
        <v>0.17885765310217513</v>
      </c>
    </row>
    <row r="242" spans="2:18" x14ac:dyDescent="0.3">
      <c r="B242" s="20" t="s">
        <v>532</v>
      </c>
      <c r="C242" s="8">
        <v>45369</v>
      </c>
      <c r="D242" s="7" t="s">
        <v>533</v>
      </c>
      <c r="E242" s="7" t="s">
        <v>18</v>
      </c>
      <c r="F242" s="7" t="s">
        <v>19</v>
      </c>
      <c r="G242" s="7">
        <v>23</v>
      </c>
      <c r="H242" s="7" t="s">
        <v>29</v>
      </c>
      <c r="I242" s="7" t="s">
        <v>21</v>
      </c>
      <c r="J242" s="7" t="s">
        <v>50</v>
      </c>
      <c r="K242" s="7" t="s">
        <v>69</v>
      </c>
      <c r="L242" s="7" t="s">
        <v>60</v>
      </c>
      <c r="M242" s="7" t="s">
        <v>41</v>
      </c>
      <c r="N242" s="7">
        <v>3</v>
      </c>
      <c r="O242" s="7">
        <v>10438</v>
      </c>
      <c r="P242" s="7">
        <v>31314</v>
      </c>
      <c r="Q242" s="9">
        <v>5023.3</v>
      </c>
      <c r="R242" s="17">
        <f t="shared" si="3"/>
        <v>0.16041706584914098</v>
      </c>
    </row>
    <row r="243" spans="2:18" x14ac:dyDescent="0.3">
      <c r="B243" s="21" t="s">
        <v>534</v>
      </c>
      <c r="C243" s="11">
        <v>45390</v>
      </c>
      <c r="D243" s="10" t="s">
        <v>535</v>
      </c>
      <c r="E243" s="10" t="s">
        <v>59</v>
      </c>
      <c r="F243" s="10" t="s">
        <v>19</v>
      </c>
      <c r="G243" s="10">
        <v>48</v>
      </c>
      <c r="H243" s="10" t="s">
        <v>29</v>
      </c>
      <c r="I243" s="10" t="s">
        <v>21</v>
      </c>
      <c r="J243" s="10" t="s">
        <v>50</v>
      </c>
      <c r="K243" s="10" t="s">
        <v>23</v>
      </c>
      <c r="L243" s="10" t="s">
        <v>60</v>
      </c>
      <c r="M243" s="10" t="s">
        <v>52</v>
      </c>
      <c r="N243" s="10">
        <v>5</v>
      </c>
      <c r="O243" s="10">
        <v>38003</v>
      </c>
      <c r="P243" s="10">
        <v>180514.25</v>
      </c>
      <c r="Q243" s="12">
        <v>61042.71</v>
      </c>
      <c r="R243" s="17">
        <f t="shared" si="3"/>
        <v>0.33816006215575778</v>
      </c>
    </row>
    <row r="244" spans="2:18" x14ac:dyDescent="0.3">
      <c r="B244" s="20" t="s">
        <v>536</v>
      </c>
      <c r="C244" s="8">
        <v>45302</v>
      </c>
      <c r="D244" s="7" t="s">
        <v>537</v>
      </c>
      <c r="E244" s="7" t="s">
        <v>18</v>
      </c>
      <c r="F244" s="7" t="s">
        <v>19</v>
      </c>
      <c r="G244" s="7">
        <v>56</v>
      </c>
      <c r="H244" s="7" t="s">
        <v>29</v>
      </c>
      <c r="I244" s="7" t="s">
        <v>46</v>
      </c>
      <c r="J244" s="7" t="s">
        <v>22</v>
      </c>
      <c r="K244" s="7" t="s">
        <v>23</v>
      </c>
      <c r="L244" s="7" t="s">
        <v>47</v>
      </c>
      <c r="M244" s="7" t="s">
        <v>25</v>
      </c>
      <c r="N244" s="7">
        <v>2</v>
      </c>
      <c r="O244" s="7">
        <v>3531</v>
      </c>
      <c r="P244" s="7">
        <v>6708.9</v>
      </c>
      <c r="Q244" s="9">
        <v>2104.41</v>
      </c>
      <c r="R244" s="17">
        <f t="shared" si="3"/>
        <v>0.31367437284800787</v>
      </c>
    </row>
    <row r="245" spans="2:18" x14ac:dyDescent="0.3">
      <c r="B245" s="21" t="s">
        <v>538</v>
      </c>
      <c r="C245" s="11">
        <v>45489</v>
      </c>
      <c r="D245" s="10" t="s">
        <v>539</v>
      </c>
      <c r="E245" s="10" t="s">
        <v>65</v>
      </c>
      <c r="F245" s="10" t="s">
        <v>19</v>
      </c>
      <c r="G245" s="10">
        <v>33</v>
      </c>
      <c r="H245" s="10" t="s">
        <v>38</v>
      </c>
      <c r="I245" s="10" t="s">
        <v>21</v>
      </c>
      <c r="J245" s="10" t="s">
        <v>50</v>
      </c>
      <c r="K245" s="10" t="s">
        <v>40</v>
      </c>
      <c r="L245" s="10" t="s">
        <v>24</v>
      </c>
      <c r="M245" s="10" t="s">
        <v>52</v>
      </c>
      <c r="N245" s="10">
        <v>1</v>
      </c>
      <c r="O245" s="10">
        <v>31153</v>
      </c>
      <c r="P245" s="10">
        <v>28037.7</v>
      </c>
      <c r="Q245" s="12">
        <v>5163.8</v>
      </c>
      <c r="R245" s="17">
        <f t="shared" si="3"/>
        <v>0.18417345217332379</v>
      </c>
    </row>
    <row r="246" spans="2:18" x14ac:dyDescent="0.3">
      <c r="B246" s="20" t="s">
        <v>540</v>
      </c>
      <c r="C246" s="8">
        <v>45580</v>
      </c>
      <c r="D246" s="7" t="s">
        <v>541</v>
      </c>
      <c r="E246" s="7" t="s">
        <v>36</v>
      </c>
      <c r="F246" s="7" t="s">
        <v>19</v>
      </c>
      <c r="G246" s="7">
        <v>25</v>
      </c>
      <c r="H246" s="7" t="s">
        <v>56</v>
      </c>
      <c r="I246" s="7" t="s">
        <v>21</v>
      </c>
      <c r="J246" s="7" t="s">
        <v>30</v>
      </c>
      <c r="K246" s="7" t="s">
        <v>23</v>
      </c>
      <c r="L246" s="7" t="s">
        <v>60</v>
      </c>
      <c r="M246" s="7" t="s">
        <v>52</v>
      </c>
      <c r="N246" s="7">
        <v>3</v>
      </c>
      <c r="O246" s="7">
        <v>14406</v>
      </c>
      <c r="P246" s="7">
        <v>34574.400000000001</v>
      </c>
      <c r="Q246" s="9">
        <v>6351.96</v>
      </c>
      <c r="R246" s="17">
        <f t="shared" si="3"/>
        <v>0.18371858947660696</v>
      </c>
    </row>
    <row r="247" spans="2:18" x14ac:dyDescent="0.3">
      <c r="B247" s="21" t="s">
        <v>542</v>
      </c>
      <c r="C247" s="11">
        <v>45375</v>
      </c>
      <c r="D247" s="10" t="s">
        <v>543</v>
      </c>
      <c r="E247" s="10" t="s">
        <v>18</v>
      </c>
      <c r="F247" s="10" t="s">
        <v>19</v>
      </c>
      <c r="G247" s="10">
        <v>55</v>
      </c>
      <c r="H247" s="10" t="s">
        <v>38</v>
      </c>
      <c r="I247" s="10" t="s">
        <v>21</v>
      </c>
      <c r="J247" s="10" t="s">
        <v>22</v>
      </c>
      <c r="K247" s="10" t="s">
        <v>51</v>
      </c>
      <c r="L247" s="10" t="s">
        <v>47</v>
      </c>
      <c r="M247" s="10" t="s">
        <v>41</v>
      </c>
      <c r="N247" s="10">
        <v>3</v>
      </c>
      <c r="O247" s="10">
        <v>47473</v>
      </c>
      <c r="P247" s="10">
        <v>142419</v>
      </c>
      <c r="Q247" s="12">
        <v>35088.25</v>
      </c>
      <c r="R247" s="17">
        <f t="shared" si="3"/>
        <v>0.24637337714771204</v>
      </c>
    </row>
    <row r="248" spans="2:18" x14ac:dyDescent="0.3">
      <c r="B248" s="20" t="s">
        <v>544</v>
      </c>
      <c r="C248" s="8">
        <v>45380</v>
      </c>
      <c r="D248" s="7" t="s">
        <v>545</v>
      </c>
      <c r="E248" s="7" t="s">
        <v>93</v>
      </c>
      <c r="F248" s="7" t="s">
        <v>37</v>
      </c>
      <c r="G248" s="7">
        <v>33</v>
      </c>
      <c r="H248" s="7" t="s">
        <v>45</v>
      </c>
      <c r="I248" s="7" t="s">
        <v>46</v>
      </c>
      <c r="J248" s="7" t="s">
        <v>30</v>
      </c>
      <c r="K248" s="7" t="s">
        <v>69</v>
      </c>
      <c r="L248" s="7" t="s">
        <v>32</v>
      </c>
      <c r="M248" s="7" t="s">
        <v>25</v>
      </c>
      <c r="N248" s="7">
        <v>5</v>
      </c>
      <c r="O248" s="7">
        <v>37805</v>
      </c>
      <c r="P248" s="7">
        <v>160671.25</v>
      </c>
      <c r="Q248" s="9">
        <v>37749.25</v>
      </c>
      <c r="R248" s="17">
        <f t="shared" si="3"/>
        <v>0.23494713584415383</v>
      </c>
    </row>
    <row r="249" spans="2:18" x14ac:dyDescent="0.3">
      <c r="B249" s="21" t="s">
        <v>546</v>
      </c>
      <c r="C249" s="11">
        <v>45531</v>
      </c>
      <c r="D249" s="10" t="s">
        <v>547</v>
      </c>
      <c r="E249" s="10" t="s">
        <v>36</v>
      </c>
      <c r="F249" s="10" t="s">
        <v>37</v>
      </c>
      <c r="G249" s="10">
        <v>28</v>
      </c>
      <c r="H249" s="10" t="s">
        <v>20</v>
      </c>
      <c r="I249" s="10" t="s">
        <v>21</v>
      </c>
      <c r="J249" s="10" t="s">
        <v>30</v>
      </c>
      <c r="K249" s="10" t="s">
        <v>23</v>
      </c>
      <c r="L249" s="10" t="s">
        <v>80</v>
      </c>
      <c r="M249" s="10" t="s">
        <v>52</v>
      </c>
      <c r="N249" s="10">
        <v>5</v>
      </c>
      <c r="O249" s="10">
        <v>9191</v>
      </c>
      <c r="P249" s="10">
        <v>45955</v>
      </c>
      <c r="Q249" s="12">
        <v>15452.33</v>
      </c>
      <c r="R249" s="17">
        <f t="shared" si="3"/>
        <v>0.33624915678381023</v>
      </c>
    </row>
    <row r="250" spans="2:18" x14ac:dyDescent="0.3">
      <c r="B250" s="20" t="s">
        <v>548</v>
      </c>
      <c r="C250" s="8">
        <v>45620</v>
      </c>
      <c r="D250" s="7" t="s">
        <v>549</v>
      </c>
      <c r="E250" s="7" t="s">
        <v>18</v>
      </c>
      <c r="F250" s="7" t="s">
        <v>19</v>
      </c>
      <c r="G250" s="7">
        <v>21</v>
      </c>
      <c r="H250" s="7" t="s">
        <v>29</v>
      </c>
      <c r="I250" s="7" t="s">
        <v>46</v>
      </c>
      <c r="J250" s="7" t="s">
        <v>50</v>
      </c>
      <c r="K250" s="7" t="s">
        <v>69</v>
      </c>
      <c r="L250" s="7" t="s">
        <v>24</v>
      </c>
      <c r="M250" s="7" t="s">
        <v>33</v>
      </c>
      <c r="N250" s="7">
        <v>5</v>
      </c>
      <c r="O250" s="7">
        <v>7523</v>
      </c>
      <c r="P250" s="7">
        <v>33853.5</v>
      </c>
      <c r="Q250" s="9">
        <v>8538.81</v>
      </c>
      <c r="R250" s="17">
        <f t="shared" si="3"/>
        <v>0.25222827772608442</v>
      </c>
    </row>
    <row r="251" spans="2:18" x14ac:dyDescent="0.3">
      <c r="B251" s="21" t="s">
        <v>550</v>
      </c>
      <c r="C251" s="11">
        <v>45491</v>
      </c>
      <c r="D251" s="10" t="s">
        <v>551</v>
      </c>
      <c r="E251" s="10" t="s">
        <v>59</v>
      </c>
      <c r="F251" s="10" t="s">
        <v>37</v>
      </c>
      <c r="G251" s="10">
        <v>22</v>
      </c>
      <c r="H251" s="10" t="s">
        <v>20</v>
      </c>
      <c r="I251" s="10" t="s">
        <v>39</v>
      </c>
      <c r="J251" s="10" t="s">
        <v>30</v>
      </c>
      <c r="K251" s="10" t="s">
        <v>51</v>
      </c>
      <c r="L251" s="10" t="s">
        <v>47</v>
      </c>
      <c r="M251" s="10" t="s">
        <v>33</v>
      </c>
      <c r="N251" s="10">
        <v>1</v>
      </c>
      <c r="O251" s="10">
        <v>13874</v>
      </c>
      <c r="P251" s="10">
        <v>12486.6</v>
      </c>
      <c r="Q251" s="12">
        <v>3767.07</v>
      </c>
      <c r="R251" s="17">
        <f t="shared" si="3"/>
        <v>0.30168901061938397</v>
      </c>
    </row>
    <row r="252" spans="2:18" x14ac:dyDescent="0.3">
      <c r="B252" s="20" t="s">
        <v>552</v>
      </c>
      <c r="C252" s="8">
        <v>45657</v>
      </c>
      <c r="D252" s="7" t="s">
        <v>553</v>
      </c>
      <c r="E252" s="7" t="s">
        <v>79</v>
      </c>
      <c r="F252" s="7" t="s">
        <v>19</v>
      </c>
      <c r="G252" s="7">
        <v>37</v>
      </c>
      <c r="H252" s="7" t="s">
        <v>29</v>
      </c>
      <c r="I252" s="7" t="s">
        <v>21</v>
      </c>
      <c r="J252" s="7" t="s">
        <v>22</v>
      </c>
      <c r="K252" s="7" t="s">
        <v>23</v>
      </c>
      <c r="L252" s="7" t="s">
        <v>60</v>
      </c>
      <c r="M252" s="7" t="s">
        <v>52</v>
      </c>
      <c r="N252" s="7">
        <v>2</v>
      </c>
      <c r="O252" s="7">
        <v>18106</v>
      </c>
      <c r="P252" s="7">
        <v>34401.4</v>
      </c>
      <c r="Q252" s="9">
        <v>11845.75</v>
      </c>
      <c r="R252" s="17">
        <f t="shared" si="3"/>
        <v>0.34433918387042384</v>
      </c>
    </row>
    <row r="253" spans="2:18" x14ac:dyDescent="0.3">
      <c r="B253" s="21" t="s">
        <v>554</v>
      </c>
      <c r="C253" s="11">
        <v>45648</v>
      </c>
      <c r="D253" s="10" t="s">
        <v>555</v>
      </c>
      <c r="E253" s="10" t="s">
        <v>76</v>
      </c>
      <c r="F253" s="10" t="s">
        <v>19</v>
      </c>
      <c r="G253" s="10">
        <v>41</v>
      </c>
      <c r="H253" s="10" t="s">
        <v>45</v>
      </c>
      <c r="I253" s="10" t="s">
        <v>46</v>
      </c>
      <c r="J253" s="10" t="s">
        <v>50</v>
      </c>
      <c r="K253" s="10" t="s">
        <v>31</v>
      </c>
      <c r="L253" s="10" t="s">
        <v>32</v>
      </c>
      <c r="M253" s="10" t="s">
        <v>41</v>
      </c>
      <c r="N253" s="10">
        <v>3</v>
      </c>
      <c r="O253" s="10">
        <v>34417</v>
      </c>
      <c r="P253" s="10">
        <v>98088.45</v>
      </c>
      <c r="Q253" s="12">
        <v>36627.19</v>
      </c>
      <c r="R253" s="17">
        <f t="shared" si="3"/>
        <v>0.37340981532484208</v>
      </c>
    </row>
    <row r="254" spans="2:18" x14ac:dyDescent="0.3">
      <c r="B254" s="20" t="s">
        <v>556</v>
      </c>
      <c r="C254" s="8">
        <v>45404</v>
      </c>
      <c r="D254" s="7" t="s">
        <v>557</v>
      </c>
      <c r="E254" s="7" t="s">
        <v>59</v>
      </c>
      <c r="F254" s="7" t="s">
        <v>19</v>
      </c>
      <c r="G254" s="7">
        <v>18</v>
      </c>
      <c r="H254" s="7" t="s">
        <v>29</v>
      </c>
      <c r="I254" s="7" t="s">
        <v>21</v>
      </c>
      <c r="J254" s="7" t="s">
        <v>22</v>
      </c>
      <c r="K254" s="7" t="s">
        <v>51</v>
      </c>
      <c r="L254" s="7" t="s">
        <v>32</v>
      </c>
      <c r="M254" s="7" t="s">
        <v>41</v>
      </c>
      <c r="N254" s="7">
        <v>1</v>
      </c>
      <c r="O254" s="7">
        <v>41497</v>
      </c>
      <c r="P254" s="7">
        <v>35272.449999999997</v>
      </c>
      <c r="Q254" s="9">
        <v>12135.43</v>
      </c>
      <c r="R254" s="17">
        <f t="shared" si="3"/>
        <v>0.34404840038046697</v>
      </c>
    </row>
    <row r="255" spans="2:18" x14ac:dyDescent="0.3">
      <c r="B255" s="21" t="s">
        <v>558</v>
      </c>
      <c r="C255" s="11">
        <v>45641</v>
      </c>
      <c r="D255" s="10" t="s">
        <v>559</v>
      </c>
      <c r="E255" s="10" t="s">
        <v>79</v>
      </c>
      <c r="F255" s="10" t="s">
        <v>37</v>
      </c>
      <c r="G255" s="10">
        <v>26</v>
      </c>
      <c r="H255" s="10" t="s">
        <v>29</v>
      </c>
      <c r="I255" s="10" t="s">
        <v>21</v>
      </c>
      <c r="J255" s="10" t="s">
        <v>22</v>
      </c>
      <c r="K255" s="10" t="s">
        <v>23</v>
      </c>
      <c r="L255" s="10" t="s">
        <v>24</v>
      </c>
      <c r="M255" s="10" t="s">
        <v>25</v>
      </c>
      <c r="N255" s="10">
        <v>5</v>
      </c>
      <c r="O255" s="10">
        <v>27348</v>
      </c>
      <c r="P255" s="10">
        <v>109392</v>
      </c>
      <c r="Q255" s="12">
        <v>36452.94</v>
      </c>
      <c r="R255" s="17">
        <f t="shared" si="3"/>
        <v>0.33323222904782801</v>
      </c>
    </row>
    <row r="256" spans="2:18" x14ac:dyDescent="0.3">
      <c r="B256" s="20" t="s">
        <v>560</v>
      </c>
      <c r="C256" s="8">
        <v>45360</v>
      </c>
      <c r="D256" s="7" t="s">
        <v>561</v>
      </c>
      <c r="E256" s="7" t="s">
        <v>76</v>
      </c>
      <c r="F256" s="7" t="s">
        <v>37</v>
      </c>
      <c r="G256" s="7">
        <v>56</v>
      </c>
      <c r="H256" s="7" t="s">
        <v>66</v>
      </c>
      <c r="I256" s="7" t="s">
        <v>21</v>
      </c>
      <c r="J256" s="7" t="s">
        <v>30</v>
      </c>
      <c r="K256" s="7" t="s">
        <v>31</v>
      </c>
      <c r="L256" s="7" t="s">
        <v>47</v>
      </c>
      <c r="M256" s="7" t="s">
        <v>33</v>
      </c>
      <c r="N256" s="7">
        <v>4</v>
      </c>
      <c r="O256" s="7">
        <v>5326</v>
      </c>
      <c r="P256" s="7">
        <v>18108.400000000001</v>
      </c>
      <c r="Q256" s="9">
        <v>6325.29</v>
      </c>
      <c r="R256" s="17">
        <f t="shared" si="3"/>
        <v>0.34930142917099244</v>
      </c>
    </row>
    <row r="257" spans="2:18" x14ac:dyDescent="0.3">
      <c r="B257" s="21" t="s">
        <v>562</v>
      </c>
      <c r="C257" s="11">
        <v>45472</v>
      </c>
      <c r="D257" s="10" t="s">
        <v>563</v>
      </c>
      <c r="E257" s="10" t="s">
        <v>28</v>
      </c>
      <c r="F257" s="10" t="s">
        <v>37</v>
      </c>
      <c r="G257" s="10">
        <v>60</v>
      </c>
      <c r="H257" s="10" t="s">
        <v>38</v>
      </c>
      <c r="I257" s="10" t="s">
        <v>21</v>
      </c>
      <c r="J257" s="10" t="s">
        <v>22</v>
      </c>
      <c r="K257" s="10" t="s">
        <v>23</v>
      </c>
      <c r="L257" s="10" t="s">
        <v>47</v>
      </c>
      <c r="M257" s="10" t="s">
        <v>52</v>
      </c>
      <c r="N257" s="10">
        <v>1</v>
      </c>
      <c r="O257" s="10">
        <v>2170</v>
      </c>
      <c r="P257" s="10">
        <v>1844.5</v>
      </c>
      <c r="Q257" s="12">
        <v>578.52</v>
      </c>
      <c r="R257" s="17">
        <f t="shared" si="3"/>
        <v>0.3136459745188398</v>
      </c>
    </row>
    <row r="258" spans="2:18" x14ac:dyDescent="0.3">
      <c r="B258" s="20" t="s">
        <v>564</v>
      </c>
      <c r="C258" s="8">
        <v>45372</v>
      </c>
      <c r="D258" s="7" t="s">
        <v>565</v>
      </c>
      <c r="E258" s="7" t="s">
        <v>36</v>
      </c>
      <c r="F258" s="7" t="s">
        <v>37</v>
      </c>
      <c r="G258" s="7">
        <v>56</v>
      </c>
      <c r="H258" s="7" t="s">
        <v>45</v>
      </c>
      <c r="I258" s="7" t="s">
        <v>39</v>
      </c>
      <c r="J258" s="7" t="s">
        <v>30</v>
      </c>
      <c r="K258" s="7" t="s">
        <v>51</v>
      </c>
      <c r="L258" s="7" t="s">
        <v>47</v>
      </c>
      <c r="M258" s="7" t="s">
        <v>41</v>
      </c>
      <c r="N258" s="7">
        <v>5</v>
      </c>
      <c r="O258" s="7">
        <v>47874</v>
      </c>
      <c r="P258" s="7">
        <v>191496</v>
      </c>
      <c r="Q258" s="9">
        <v>33167.300000000003</v>
      </c>
      <c r="R258" s="17">
        <f t="shared" si="3"/>
        <v>0.17320100680954173</v>
      </c>
    </row>
    <row r="259" spans="2:18" x14ac:dyDescent="0.3">
      <c r="B259" s="21" t="s">
        <v>566</v>
      </c>
      <c r="C259" s="11">
        <v>45398</v>
      </c>
      <c r="D259" s="10" t="s">
        <v>567</v>
      </c>
      <c r="E259" s="10" t="s">
        <v>93</v>
      </c>
      <c r="F259" s="10" t="s">
        <v>37</v>
      </c>
      <c r="G259" s="10">
        <v>51</v>
      </c>
      <c r="H259" s="10" t="s">
        <v>66</v>
      </c>
      <c r="I259" s="10" t="s">
        <v>21</v>
      </c>
      <c r="J259" s="10" t="s">
        <v>50</v>
      </c>
      <c r="K259" s="10" t="s">
        <v>40</v>
      </c>
      <c r="L259" s="10" t="s">
        <v>24</v>
      </c>
      <c r="M259" s="10" t="s">
        <v>41</v>
      </c>
      <c r="N259" s="10">
        <v>3</v>
      </c>
      <c r="O259" s="10">
        <v>43466</v>
      </c>
      <c r="P259" s="10">
        <v>123878.1</v>
      </c>
      <c r="Q259" s="12">
        <v>28288.17</v>
      </c>
      <c r="R259" s="17">
        <f t="shared" si="3"/>
        <v>0.2283548908160522</v>
      </c>
    </row>
    <row r="260" spans="2:18" x14ac:dyDescent="0.3">
      <c r="B260" s="20" t="s">
        <v>568</v>
      </c>
      <c r="C260" s="8">
        <v>45351</v>
      </c>
      <c r="D260" s="7" t="s">
        <v>569</v>
      </c>
      <c r="E260" s="7" t="s">
        <v>76</v>
      </c>
      <c r="F260" s="7" t="s">
        <v>19</v>
      </c>
      <c r="G260" s="7">
        <v>46</v>
      </c>
      <c r="H260" s="7" t="s">
        <v>45</v>
      </c>
      <c r="I260" s="7" t="s">
        <v>21</v>
      </c>
      <c r="J260" s="7" t="s">
        <v>30</v>
      </c>
      <c r="K260" s="7" t="s">
        <v>51</v>
      </c>
      <c r="L260" s="7" t="s">
        <v>32</v>
      </c>
      <c r="M260" s="7" t="s">
        <v>33</v>
      </c>
      <c r="N260" s="7">
        <v>3</v>
      </c>
      <c r="O260" s="7">
        <v>16527</v>
      </c>
      <c r="P260" s="7">
        <v>47101.95</v>
      </c>
      <c r="Q260" s="9">
        <v>14185.01</v>
      </c>
      <c r="R260" s="17">
        <f t="shared" ref="R260:R323" si="4">Q260/P260</f>
        <v>0.30115547233182494</v>
      </c>
    </row>
    <row r="261" spans="2:18" x14ac:dyDescent="0.3">
      <c r="B261" s="21" t="s">
        <v>570</v>
      </c>
      <c r="C261" s="11">
        <v>45575</v>
      </c>
      <c r="D261" s="10" t="s">
        <v>571</v>
      </c>
      <c r="E261" s="10" t="s">
        <v>93</v>
      </c>
      <c r="F261" s="10" t="s">
        <v>19</v>
      </c>
      <c r="G261" s="10">
        <v>39</v>
      </c>
      <c r="H261" s="10" t="s">
        <v>20</v>
      </c>
      <c r="I261" s="10" t="s">
        <v>21</v>
      </c>
      <c r="J261" s="10" t="s">
        <v>22</v>
      </c>
      <c r="K261" s="10" t="s">
        <v>31</v>
      </c>
      <c r="L261" s="10" t="s">
        <v>24</v>
      </c>
      <c r="M261" s="10" t="s">
        <v>33</v>
      </c>
      <c r="N261" s="10">
        <v>2</v>
      </c>
      <c r="O261" s="10">
        <v>44425</v>
      </c>
      <c r="P261" s="10">
        <v>75522.5</v>
      </c>
      <c r="Q261" s="12">
        <v>26729.17</v>
      </c>
      <c r="R261" s="17">
        <f t="shared" si="4"/>
        <v>0.3539232679002946</v>
      </c>
    </row>
    <row r="262" spans="2:18" x14ac:dyDescent="0.3">
      <c r="B262" s="20" t="s">
        <v>572</v>
      </c>
      <c r="C262" s="8">
        <v>45645</v>
      </c>
      <c r="D262" s="7" t="s">
        <v>573</v>
      </c>
      <c r="E262" s="7" t="s">
        <v>59</v>
      </c>
      <c r="F262" s="7" t="s">
        <v>19</v>
      </c>
      <c r="G262" s="7">
        <v>33</v>
      </c>
      <c r="H262" s="7" t="s">
        <v>38</v>
      </c>
      <c r="I262" s="7" t="s">
        <v>46</v>
      </c>
      <c r="J262" s="7" t="s">
        <v>30</v>
      </c>
      <c r="K262" s="7" t="s">
        <v>69</v>
      </c>
      <c r="L262" s="7" t="s">
        <v>24</v>
      </c>
      <c r="M262" s="7" t="s">
        <v>52</v>
      </c>
      <c r="N262" s="7">
        <v>2</v>
      </c>
      <c r="O262" s="7">
        <v>44961</v>
      </c>
      <c r="P262" s="7">
        <v>80929.8</v>
      </c>
      <c r="Q262" s="9">
        <v>27710.5</v>
      </c>
      <c r="R262" s="17">
        <f t="shared" si="4"/>
        <v>0.34240168639981811</v>
      </c>
    </row>
    <row r="263" spans="2:18" x14ac:dyDescent="0.3">
      <c r="B263" s="21" t="s">
        <v>574</v>
      </c>
      <c r="C263" s="11">
        <v>45525</v>
      </c>
      <c r="D263" s="10" t="s">
        <v>575</v>
      </c>
      <c r="E263" s="10" t="s">
        <v>65</v>
      </c>
      <c r="F263" s="10" t="s">
        <v>37</v>
      </c>
      <c r="G263" s="10">
        <v>47</v>
      </c>
      <c r="H263" s="10" t="s">
        <v>38</v>
      </c>
      <c r="I263" s="10" t="s">
        <v>46</v>
      </c>
      <c r="J263" s="10" t="s">
        <v>22</v>
      </c>
      <c r="K263" s="10" t="s">
        <v>51</v>
      </c>
      <c r="L263" s="10" t="s">
        <v>32</v>
      </c>
      <c r="M263" s="10" t="s">
        <v>41</v>
      </c>
      <c r="N263" s="10">
        <v>1</v>
      </c>
      <c r="O263" s="10">
        <v>19047</v>
      </c>
      <c r="P263" s="10">
        <v>19047</v>
      </c>
      <c r="Q263" s="12">
        <v>5524.91</v>
      </c>
      <c r="R263" s="17">
        <f t="shared" si="4"/>
        <v>0.29006720218407095</v>
      </c>
    </row>
    <row r="264" spans="2:18" x14ac:dyDescent="0.3">
      <c r="B264" s="20" t="s">
        <v>576</v>
      </c>
      <c r="C264" s="8">
        <v>45573</v>
      </c>
      <c r="D264" s="7" t="s">
        <v>577</v>
      </c>
      <c r="E264" s="7" t="s">
        <v>18</v>
      </c>
      <c r="F264" s="7" t="s">
        <v>37</v>
      </c>
      <c r="G264" s="7">
        <v>35</v>
      </c>
      <c r="H264" s="7" t="s">
        <v>66</v>
      </c>
      <c r="I264" s="7" t="s">
        <v>21</v>
      </c>
      <c r="J264" s="7" t="s">
        <v>50</v>
      </c>
      <c r="K264" s="7" t="s">
        <v>40</v>
      </c>
      <c r="L264" s="7" t="s">
        <v>47</v>
      </c>
      <c r="M264" s="7" t="s">
        <v>52</v>
      </c>
      <c r="N264" s="7">
        <v>3</v>
      </c>
      <c r="O264" s="7">
        <v>4771</v>
      </c>
      <c r="P264" s="7">
        <v>14313</v>
      </c>
      <c r="Q264" s="9">
        <v>4284.08</v>
      </c>
      <c r="R264" s="17">
        <f t="shared" si="4"/>
        <v>0.29931391043107664</v>
      </c>
    </row>
    <row r="265" spans="2:18" x14ac:dyDescent="0.3">
      <c r="B265" s="21" t="s">
        <v>578</v>
      </c>
      <c r="C265" s="11">
        <v>45599</v>
      </c>
      <c r="D265" s="10" t="s">
        <v>579</v>
      </c>
      <c r="E265" s="10" t="s">
        <v>93</v>
      </c>
      <c r="F265" s="10" t="s">
        <v>19</v>
      </c>
      <c r="G265" s="10">
        <v>53</v>
      </c>
      <c r="H265" s="10" t="s">
        <v>20</v>
      </c>
      <c r="I265" s="10" t="s">
        <v>21</v>
      </c>
      <c r="J265" s="10" t="s">
        <v>22</v>
      </c>
      <c r="K265" s="10" t="s">
        <v>40</v>
      </c>
      <c r="L265" s="10" t="s">
        <v>60</v>
      </c>
      <c r="M265" s="10" t="s">
        <v>33</v>
      </c>
      <c r="N265" s="10">
        <v>1</v>
      </c>
      <c r="O265" s="10">
        <v>12197</v>
      </c>
      <c r="P265" s="10">
        <v>9757.6</v>
      </c>
      <c r="Q265" s="12">
        <v>2540.3000000000002</v>
      </c>
      <c r="R265" s="17">
        <f t="shared" si="4"/>
        <v>0.26034065753873903</v>
      </c>
    </row>
    <row r="266" spans="2:18" x14ac:dyDescent="0.3">
      <c r="B266" s="20" t="s">
        <v>580</v>
      </c>
      <c r="C266" s="8">
        <v>45444</v>
      </c>
      <c r="D266" s="7" t="s">
        <v>581</v>
      </c>
      <c r="E266" s="7" t="s">
        <v>59</v>
      </c>
      <c r="F266" s="7" t="s">
        <v>19</v>
      </c>
      <c r="G266" s="7">
        <v>47</v>
      </c>
      <c r="H266" s="7" t="s">
        <v>45</v>
      </c>
      <c r="I266" s="7" t="s">
        <v>21</v>
      </c>
      <c r="J266" s="7" t="s">
        <v>22</v>
      </c>
      <c r="K266" s="7" t="s">
        <v>31</v>
      </c>
      <c r="L266" s="7" t="s">
        <v>24</v>
      </c>
      <c r="M266" s="7" t="s">
        <v>25</v>
      </c>
      <c r="N266" s="7">
        <v>5</v>
      </c>
      <c r="O266" s="7">
        <v>22068</v>
      </c>
      <c r="P266" s="7">
        <v>88272</v>
      </c>
      <c r="Q266" s="9">
        <v>18632.990000000002</v>
      </c>
      <c r="R266" s="17">
        <f t="shared" si="4"/>
        <v>0.21108607485952513</v>
      </c>
    </row>
    <row r="267" spans="2:18" x14ac:dyDescent="0.3">
      <c r="B267" s="21" t="s">
        <v>582</v>
      </c>
      <c r="C267" s="11">
        <v>45327</v>
      </c>
      <c r="D267" s="10" t="s">
        <v>583</v>
      </c>
      <c r="E267" s="10" t="s">
        <v>55</v>
      </c>
      <c r="F267" s="10" t="s">
        <v>37</v>
      </c>
      <c r="G267" s="10">
        <v>29</v>
      </c>
      <c r="H267" s="10" t="s">
        <v>38</v>
      </c>
      <c r="I267" s="10" t="s">
        <v>21</v>
      </c>
      <c r="J267" s="10" t="s">
        <v>30</v>
      </c>
      <c r="K267" s="10" t="s">
        <v>69</v>
      </c>
      <c r="L267" s="10" t="s">
        <v>80</v>
      </c>
      <c r="M267" s="10" t="s">
        <v>52</v>
      </c>
      <c r="N267" s="10">
        <v>5</v>
      </c>
      <c r="O267" s="10">
        <v>34311</v>
      </c>
      <c r="P267" s="10">
        <v>162977.25</v>
      </c>
      <c r="Q267" s="12">
        <v>63821.43</v>
      </c>
      <c r="R267" s="17">
        <f t="shared" si="4"/>
        <v>0.39159717077076711</v>
      </c>
    </row>
    <row r="268" spans="2:18" x14ac:dyDescent="0.3">
      <c r="B268" s="20" t="s">
        <v>584</v>
      </c>
      <c r="C268" s="8">
        <v>45428</v>
      </c>
      <c r="D268" s="7" t="s">
        <v>585</v>
      </c>
      <c r="E268" s="7" t="s">
        <v>59</v>
      </c>
      <c r="F268" s="7" t="s">
        <v>19</v>
      </c>
      <c r="G268" s="7">
        <v>26</v>
      </c>
      <c r="H268" s="7" t="s">
        <v>66</v>
      </c>
      <c r="I268" s="7" t="s">
        <v>21</v>
      </c>
      <c r="J268" s="7" t="s">
        <v>30</v>
      </c>
      <c r="K268" s="7" t="s">
        <v>40</v>
      </c>
      <c r="L268" s="7" t="s">
        <v>24</v>
      </c>
      <c r="M268" s="7" t="s">
        <v>25</v>
      </c>
      <c r="N268" s="7">
        <v>2</v>
      </c>
      <c r="O268" s="7">
        <v>28344</v>
      </c>
      <c r="P268" s="7">
        <v>48184.800000000003</v>
      </c>
      <c r="Q268" s="9">
        <v>16993.5</v>
      </c>
      <c r="R268" s="17">
        <f t="shared" si="4"/>
        <v>0.35267345718981918</v>
      </c>
    </row>
    <row r="269" spans="2:18" x14ac:dyDescent="0.3">
      <c r="B269" s="21" t="s">
        <v>586</v>
      </c>
      <c r="C269" s="11">
        <v>45384</v>
      </c>
      <c r="D269" s="10" t="s">
        <v>587</v>
      </c>
      <c r="E269" s="10" t="s">
        <v>79</v>
      </c>
      <c r="F269" s="10" t="s">
        <v>19</v>
      </c>
      <c r="G269" s="10">
        <v>38</v>
      </c>
      <c r="H269" s="10" t="s">
        <v>56</v>
      </c>
      <c r="I269" s="10" t="s">
        <v>21</v>
      </c>
      <c r="J269" s="10" t="s">
        <v>50</v>
      </c>
      <c r="K269" s="10" t="s">
        <v>51</v>
      </c>
      <c r="L269" s="10" t="s">
        <v>47</v>
      </c>
      <c r="M269" s="10" t="s">
        <v>41</v>
      </c>
      <c r="N269" s="10">
        <v>3</v>
      </c>
      <c r="O269" s="10">
        <v>36149</v>
      </c>
      <c r="P269" s="10">
        <v>108447</v>
      </c>
      <c r="Q269" s="12">
        <v>32676.76</v>
      </c>
      <c r="R269" s="17">
        <f t="shared" si="4"/>
        <v>0.30131548129501046</v>
      </c>
    </row>
    <row r="270" spans="2:18" x14ac:dyDescent="0.3">
      <c r="B270" s="20" t="s">
        <v>588</v>
      </c>
      <c r="C270" s="8">
        <v>45300</v>
      </c>
      <c r="D270" s="7" t="s">
        <v>589</v>
      </c>
      <c r="E270" s="7" t="s">
        <v>79</v>
      </c>
      <c r="F270" s="7" t="s">
        <v>37</v>
      </c>
      <c r="G270" s="7">
        <v>46</v>
      </c>
      <c r="H270" s="7" t="s">
        <v>29</v>
      </c>
      <c r="I270" s="7" t="s">
        <v>21</v>
      </c>
      <c r="J270" s="7" t="s">
        <v>22</v>
      </c>
      <c r="K270" s="7" t="s">
        <v>40</v>
      </c>
      <c r="L270" s="7" t="s">
        <v>60</v>
      </c>
      <c r="M270" s="7" t="s">
        <v>33</v>
      </c>
      <c r="N270" s="7">
        <v>3</v>
      </c>
      <c r="O270" s="7">
        <v>8613</v>
      </c>
      <c r="P270" s="7">
        <v>20671.2</v>
      </c>
      <c r="Q270" s="9">
        <v>3466.05</v>
      </c>
      <c r="R270" s="17">
        <f t="shared" si="4"/>
        <v>0.16767531638221295</v>
      </c>
    </row>
    <row r="271" spans="2:18" x14ac:dyDescent="0.3">
      <c r="B271" s="21" t="s">
        <v>590</v>
      </c>
      <c r="C271" s="11">
        <v>45535</v>
      </c>
      <c r="D271" s="10" t="s">
        <v>591</v>
      </c>
      <c r="E271" s="10" t="s">
        <v>18</v>
      </c>
      <c r="F271" s="10" t="s">
        <v>37</v>
      </c>
      <c r="G271" s="10">
        <v>39</v>
      </c>
      <c r="H271" s="10" t="s">
        <v>38</v>
      </c>
      <c r="I271" s="10" t="s">
        <v>46</v>
      </c>
      <c r="J271" s="10" t="s">
        <v>50</v>
      </c>
      <c r="K271" s="10" t="s">
        <v>51</v>
      </c>
      <c r="L271" s="10" t="s">
        <v>60</v>
      </c>
      <c r="M271" s="10" t="s">
        <v>25</v>
      </c>
      <c r="N271" s="10">
        <v>5</v>
      </c>
      <c r="O271" s="10">
        <v>6207</v>
      </c>
      <c r="P271" s="10">
        <v>29483.25</v>
      </c>
      <c r="Q271" s="12">
        <v>9709.65</v>
      </c>
      <c r="R271" s="17">
        <f t="shared" si="4"/>
        <v>0.32932766910025185</v>
      </c>
    </row>
    <row r="272" spans="2:18" x14ac:dyDescent="0.3">
      <c r="B272" s="20" t="s">
        <v>592</v>
      </c>
      <c r="C272" s="8">
        <v>45602</v>
      </c>
      <c r="D272" s="7" t="s">
        <v>593</v>
      </c>
      <c r="E272" s="7" t="s">
        <v>76</v>
      </c>
      <c r="F272" s="7" t="s">
        <v>19</v>
      </c>
      <c r="G272" s="7">
        <v>28</v>
      </c>
      <c r="H272" s="7" t="s">
        <v>38</v>
      </c>
      <c r="I272" s="7" t="s">
        <v>21</v>
      </c>
      <c r="J272" s="7" t="s">
        <v>22</v>
      </c>
      <c r="K272" s="7" t="s">
        <v>69</v>
      </c>
      <c r="L272" s="7" t="s">
        <v>32</v>
      </c>
      <c r="M272" s="7" t="s">
        <v>52</v>
      </c>
      <c r="N272" s="7">
        <v>2</v>
      </c>
      <c r="O272" s="7">
        <v>45702</v>
      </c>
      <c r="P272" s="7">
        <v>91404</v>
      </c>
      <c r="Q272" s="9">
        <v>26393.79</v>
      </c>
      <c r="R272" s="17">
        <f t="shared" si="4"/>
        <v>0.28875968228961535</v>
      </c>
    </row>
    <row r="273" spans="2:18" x14ac:dyDescent="0.3">
      <c r="B273" s="21" t="s">
        <v>594</v>
      </c>
      <c r="C273" s="11">
        <v>45646</v>
      </c>
      <c r="D273" s="10" t="s">
        <v>595</v>
      </c>
      <c r="E273" s="10" t="s">
        <v>36</v>
      </c>
      <c r="F273" s="10" t="s">
        <v>19</v>
      </c>
      <c r="G273" s="10">
        <v>56</v>
      </c>
      <c r="H273" s="10" t="s">
        <v>66</v>
      </c>
      <c r="I273" s="10" t="s">
        <v>21</v>
      </c>
      <c r="J273" s="10" t="s">
        <v>30</v>
      </c>
      <c r="K273" s="10" t="s">
        <v>23</v>
      </c>
      <c r="L273" s="10" t="s">
        <v>47</v>
      </c>
      <c r="M273" s="10" t="s">
        <v>52</v>
      </c>
      <c r="N273" s="10">
        <v>1</v>
      </c>
      <c r="O273" s="10">
        <v>2112</v>
      </c>
      <c r="P273" s="10">
        <v>1795.2</v>
      </c>
      <c r="Q273" s="12">
        <v>281.57</v>
      </c>
      <c r="R273" s="17">
        <f t="shared" si="4"/>
        <v>0.15684603386809268</v>
      </c>
    </row>
    <row r="274" spans="2:18" x14ac:dyDescent="0.3">
      <c r="B274" s="20" t="s">
        <v>596</v>
      </c>
      <c r="C274" s="8">
        <v>45609</v>
      </c>
      <c r="D274" s="7" t="s">
        <v>597</v>
      </c>
      <c r="E274" s="7" t="s">
        <v>28</v>
      </c>
      <c r="F274" s="7" t="s">
        <v>37</v>
      </c>
      <c r="G274" s="7">
        <v>58</v>
      </c>
      <c r="H274" s="7" t="s">
        <v>45</v>
      </c>
      <c r="I274" s="7" t="s">
        <v>39</v>
      </c>
      <c r="J274" s="7" t="s">
        <v>22</v>
      </c>
      <c r="K274" s="7" t="s">
        <v>69</v>
      </c>
      <c r="L274" s="7" t="s">
        <v>47</v>
      </c>
      <c r="M274" s="7" t="s">
        <v>33</v>
      </c>
      <c r="N274" s="7">
        <v>5</v>
      </c>
      <c r="O274" s="7">
        <v>40123</v>
      </c>
      <c r="P274" s="7">
        <v>190584.25</v>
      </c>
      <c r="Q274" s="9">
        <v>51088.21</v>
      </c>
      <c r="R274" s="17">
        <f t="shared" si="4"/>
        <v>0.26806102812798016</v>
      </c>
    </row>
    <row r="275" spans="2:18" x14ac:dyDescent="0.3">
      <c r="B275" s="21" t="s">
        <v>598</v>
      </c>
      <c r="C275" s="11">
        <v>45374</v>
      </c>
      <c r="D275" s="10" t="s">
        <v>599</v>
      </c>
      <c r="E275" s="10" t="s">
        <v>36</v>
      </c>
      <c r="F275" s="10" t="s">
        <v>19</v>
      </c>
      <c r="G275" s="10">
        <v>42</v>
      </c>
      <c r="H275" s="10" t="s">
        <v>56</v>
      </c>
      <c r="I275" s="10" t="s">
        <v>21</v>
      </c>
      <c r="J275" s="10" t="s">
        <v>50</v>
      </c>
      <c r="K275" s="10" t="s">
        <v>51</v>
      </c>
      <c r="L275" s="10" t="s">
        <v>24</v>
      </c>
      <c r="M275" s="10" t="s">
        <v>25</v>
      </c>
      <c r="N275" s="10">
        <v>2</v>
      </c>
      <c r="O275" s="10">
        <v>1310</v>
      </c>
      <c r="P275" s="10">
        <v>2358</v>
      </c>
      <c r="Q275" s="12">
        <v>660.16</v>
      </c>
      <c r="R275" s="17">
        <f t="shared" si="4"/>
        <v>0.27996607294317216</v>
      </c>
    </row>
    <row r="276" spans="2:18" x14ac:dyDescent="0.3">
      <c r="B276" s="20" t="s">
        <v>600</v>
      </c>
      <c r="C276" s="8">
        <v>45340</v>
      </c>
      <c r="D276" s="7" t="s">
        <v>601</v>
      </c>
      <c r="E276" s="7" t="s">
        <v>65</v>
      </c>
      <c r="F276" s="7" t="s">
        <v>37</v>
      </c>
      <c r="G276" s="7">
        <v>25</v>
      </c>
      <c r="H276" s="7" t="s">
        <v>29</v>
      </c>
      <c r="I276" s="7" t="s">
        <v>21</v>
      </c>
      <c r="J276" s="7" t="s">
        <v>22</v>
      </c>
      <c r="K276" s="7" t="s">
        <v>23</v>
      </c>
      <c r="L276" s="7" t="s">
        <v>24</v>
      </c>
      <c r="M276" s="7" t="s">
        <v>25</v>
      </c>
      <c r="N276" s="7">
        <v>1</v>
      </c>
      <c r="O276" s="7">
        <v>18467</v>
      </c>
      <c r="P276" s="7">
        <v>16620.3</v>
      </c>
      <c r="Q276" s="9">
        <v>2593.23</v>
      </c>
      <c r="R276" s="17">
        <f t="shared" si="4"/>
        <v>0.15602786953304093</v>
      </c>
    </row>
    <row r="277" spans="2:18" x14ac:dyDescent="0.3">
      <c r="B277" s="21" t="s">
        <v>602</v>
      </c>
      <c r="C277" s="11">
        <v>45542</v>
      </c>
      <c r="D277" s="10" t="s">
        <v>603</v>
      </c>
      <c r="E277" s="10" t="s">
        <v>79</v>
      </c>
      <c r="F277" s="10" t="s">
        <v>19</v>
      </c>
      <c r="G277" s="10">
        <v>19</v>
      </c>
      <c r="H277" s="10" t="s">
        <v>29</v>
      </c>
      <c r="I277" s="10" t="s">
        <v>21</v>
      </c>
      <c r="J277" s="10" t="s">
        <v>50</v>
      </c>
      <c r="K277" s="10" t="s">
        <v>69</v>
      </c>
      <c r="L277" s="10" t="s">
        <v>24</v>
      </c>
      <c r="M277" s="10" t="s">
        <v>52</v>
      </c>
      <c r="N277" s="10">
        <v>5</v>
      </c>
      <c r="O277" s="10">
        <v>31677</v>
      </c>
      <c r="P277" s="10">
        <v>150465.75</v>
      </c>
      <c r="Q277" s="12">
        <v>47194.81</v>
      </c>
      <c r="R277" s="17">
        <f t="shared" si="4"/>
        <v>0.31365815808581021</v>
      </c>
    </row>
    <row r="278" spans="2:18" x14ac:dyDescent="0.3">
      <c r="B278" s="20" t="s">
        <v>604</v>
      </c>
      <c r="C278" s="8">
        <v>45430</v>
      </c>
      <c r="D278" s="7" t="s">
        <v>605</v>
      </c>
      <c r="E278" s="7" t="s">
        <v>93</v>
      </c>
      <c r="F278" s="7" t="s">
        <v>19</v>
      </c>
      <c r="G278" s="7">
        <v>22</v>
      </c>
      <c r="H278" s="7" t="s">
        <v>38</v>
      </c>
      <c r="I278" s="7" t="s">
        <v>21</v>
      </c>
      <c r="J278" s="7" t="s">
        <v>30</v>
      </c>
      <c r="K278" s="7" t="s">
        <v>51</v>
      </c>
      <c r="L278" s="7" t="s">
        <v>24</v>
      </c>
      <c r="M278" s="7" t="s">
        <v>33</v>
      </c>
      <c r="N278" s="7">
        <v>5</v>
      </c>
      <c r="O278" s="7">
        <v>15436</v>
      </c>
      <c r="P278" s="7">
        <v>77180</v>
      </c>
      <c r="Q278" s="9">
        <v>21044.61</v>
      </c>
      <c r="R278" s="17">
        <f t="shared" si="4"/>
        <v>0.2726692148224929</v>
      </c>
    </row>
    <row r="279" spans="2:18" x14ac:dyDescent="0.3">
      <c r="B279" s="21" t="s">
        <v>606</v>
      </c>
      <c r="C279" s="11">
        <v>45370</v>
      </c>
      <c r="D279" s="10" t="s">
        <v>607</v>
      </c>
      <c r="E279" s="10" t="s">
        <v>59</v>
      </c>
      <c r="F279" s="10" t="s">
        <v>37</v>
      </c>
      <c r="G279" s="10">
        <v>37</v>
      </c>
      <c r="H279" s="10" t="s">
        <v>45</v>
      </c>
      <c r="I279" s="10" t="s">
        <v>21</v>
      </c>
      <c r="J279" s="10" t="s">
        <v>50</v>
      </c>
      <c r="K279" s="10" t="s">
        <v>31</v>
      </c>
      <c r="L279" s="10" t="s">
        <v>80</v>
      </c>
      <c r="M279" s="10" t="s">
        <v>25</v>
      </c>
      <c r="N279" s="10">
        <v>1</v>
      </c>
      <c r="O279" s="10">
        <v>2070</v>
      </c>
      <c r="P279" s="10">
        <v>1966.5</v>
      </c>
      <c r="Q279" s="12">
        <v>682.75</v>
      </c>
      <c r="R279" s="17">
        <f t="shared" si="4"/>
        <v>0.34719043986778542</v>
      </c>
    </row>
    <row r="280" spans="2:18" x14ac:dyDescent="0.3">
      <c r="B280" s="20" t="s">
        <v>608</v>
      </c>
      <c r="C280" s="8">
        <v>45314</v>
      </c>
      <c r="D280" s="7" t="s">
        <v>609</v>
      </c>
      <c r="E280" s="7" t="s">
        <v>59</v>
      </c>
      <c r="F280" s="7" t="s">
        <v>19</v>
      </c>
      <c r="G280" s="7">
        <v>40</v>
      </c>
      <c r="H280" s="7" t="s">
        <v>20</v>
      </c>
      <c r="I280" s="7" t="s">
        <v>39</v>
      </c>
      <c r="J280" s="7" t="s">
        <v>22</v>
      </c>
      <c r="K280" s="7" t="s">
        <v>31</v>
      </c>
      <c r="L280" s="7" t="s">
        <v>24</v>
      </c>
      <c r="M280" s="7" t="s">
        <v>33</v>
      </c>
      <c r="N280" s="7">
        <v>5</v>
      </c>
      <c r="O280" s="7">
        <v>1884</v>
      </c>
      <c r="P280" s="7">
        <v>9420</v>
      </c>
      <c r="Q280" s="9">
        <v>3337.13</v>
      </c>
      <c r="R280" s="17">
        <f t="shared" si="4"/>
        <v>0.35426008492569006</v>
      </c>
    </row>
    <row r="281" spans="2:18" x14ac:dyDescent="0.3">
      <c r="B281" s="21" t="s">
        <v>610</v>
      </c>
      <c r="C281" s="11">
        <v>45474</v>
      </c>
      <c r="D281" s="10" t="s">
        <v>611</v>
      </c>
      <c r="E281" s="10" t="s">
        <v>18</v>
      </c>
      <c r="F281" s="10" t="s">
        <v>37</v>
      </c>
      <c r="G281" s="10">
        <v>29</v>
      </c>
      <c r="H281" s="10" t="s">
        <v>29</v>
      </c>
      <c r="I281" s="10" t="s">
        <v>21</v>
      </c>
      <c r="J281" s="10" t="s">
        <v>22</v>
      </c>
      <c r="K281" s="10" t="s">
        <v>69</v>
      </c>
      <c r="L281" s="10" t="s">
        <v>60</v>
      </c>
      <c r="M281" s="10" t="s">
        <v>25</v>
      </c>
      <c r="N281" s="10">
        <v>3</v>
      </c>
      <c r="O281" s="10">
        <v>41909</v>
      </c>
      <c r="P281" s="10">
        <v>125727</v>
      </c>
      <c r="Q281" s="12">
        <v>38845.46</v>
      </c>
      <c r="R281" s="17">
        <f t="shared" si="4"/>
        <v>0.30896672950122089</v>
      </c>
    </row>
    <row r="282" spans="2:18" x14ac:dyDescent="0.3">
      <c r="B282" s="20" t="s">
        <v>612</v>
      </c>
      <c r="C282" s="8">
        <v>45570</v>
      </c>
      <c r="D282" s="7" t="s">
        <v>613</v>
      </c>
      <c r="E282" s="7" t="s">
        <v>79</v>
      </c>
      <c r="F282" s="7" t="s">
        <v>19</v>
      </c>
      <c r="G282" s="7">
        <v>42</v>
      </c>
      <c r="H282" s="7" t="s">
        <v>45</v>
      </c>
      <c r="I282" s="7" t="s">
        <v>46</v>
      </c>
      <c r="J282" s="7" t="s">
        <v>30</v>
      </c>
      <c r="K282" s="7" t="s">
        <v>31</v>
      </c>
      <c r="L282" s="7" t="s">
        <v>47</v>
      </c>
      <c r="M282" s="7" t="s">
        <v>25</v>
      </c>
      <c r="N282" s="7">
        <v>3</v>
      </c>
      <c r="O282" s="7">
        <v>12324</v>
      </c>
      <c r="P282" s="7">
        <v>31426.2</v>
      </c>
      <c r="Q282" s="9">
        <v>9393.48</v>
      </c>
      <c r="R282" s="17">
        <f t="shared" si="4"/>
        <v>0.29890600836244913</v>
      </c>
    </row>
    <row r="283" spans="2:18" x14ac:dyDescent="0.3">
      <c r="B283" s="21" t="s">
        <v>614</v>
      </c>
      <c r="C283" s="11">
        <v>45450</v>
      </c>
      <c r="D283" s="10" t="s">
        <v>615</v>
      </c>
      <c r="E283" s="10" t="s">
        <v>59</v>
      </c>
      <c r="F283" s="10" t="s">
        <v>37</v>
      </c>
      <c r="G283" s="10">
        <v>59</v>
      </c>
      <c r="H283" s="10" t="s">
        <v>66</v>
      </c>
      <c r="I283" s="10" t="s">
        <v>21</v>
      </c>
      <c r="J283" s="10" t="s">
        <v>22</v>
      </c>
      <c r="K283" s="10" t="s">
        <v>40</v>
      </c>
      <c r="L283" s="10" t="s">
        <v>47</v>
      </c>
      <c r="M283" s="10" t="s">
        <v>41</v>
      </c>
      <c r="N283" s="10">
        <v>5</v>
      </c>
      <c r="O283" s="10">
        <v>32485</v>
      </c>
      <c r="P283" s="10">
        <v>162425</v>
      </c>
      <c r="Q283" s="12">
        <v>27757</v>
      </c>
      <c r="R283" s="17">
        <f t="shared" si="4"/>
        <v>0.17089118054486685</v>
      </c>
    </row>
    <row r="284" spans="2:18" x14ac:dyDescent="0.3">
      <c r="B284" s="20" t="s">
        <v>616</v>
      </c>
      <c r="C284" s="8">
        <v>45528</v>
      </c>
      <c r="D284" s="7" t="s">
        <v>617</v>
      </c>
      <c r="E284" s="7" t="s">
        <v>59</v>
      </c>
      <c r="F284" s="7" t="s">
        <v>37</v>
      </c>
      <c r="G284" s="7">
        <v>21</v>
      </c>
      <c r="H284" s="7" t="s">
        <v>29</v>
      </c>
      <c r="I284" s="7" t="s">
        <v>21</v>
      </c>
      <c r="J284" s="7" t="s">
        <v>30</v>
      </c>
      <c r="K284" s="7" t="s">
        <v>40</v>
      </c>
      <c r="L284" s="7" t="s">
        <v>47</v>
      </c>
      <c r="M284" s="7" t="s">
        <v>52</v>
      </c>
      <c r="N284" s="7">
        <v>2</v>
      </c>
      <c r="O284" s="7">
        <v>47613</v>
      </c>
      <c r="P284" s="7">
        <v>80942.100000000006</v>
      </c>
      <c r="Q284" s="9">
        <v>15848.96</v>
      </c>
      <c r="R284" s="17">
        <f t="shared" si="4"/>
        <v>0.19580613796775717</v>
      </c>
    </row>
    <row r="285" spans="2:18" x14ac:dyDescent="0.3">
      <c r="B285" s="21" t="s">
        <v>618</v>
      </c>
      <c r="C285" s="11">
        <v>45583</v>
      </c>
      <c r="D285" s="10" t="s">
        <v>619</v>
      </c>
      <c r="E285" s="10" t="s">
        <v>28</v>
      </c>
      <c r="F285" s="10" t="s">
        <v>19</v>
      </c>
      <c r="G285" s="10">
        <v>25</v>
      </c>
      <c r="H285" s="10" t="s">
        <v>56</v>
      </c>
      <c r="I285" s="10" t="s">
        <v>21</v>
      </c>
      <c r="J285" s="10" t="s">
        <v>50</v>
      </c>
      <c r="K285" s="10" t="s">
        <v>69</v>
      </c>
      <c r="L285" s="10" t="s">
        <v>80</v>
      </c>
      <c r="M285" s="10" t="s">
        <v>33</v>
      </c>
      <c r="N285" s="10">
        <v>3</v>
      </c>
      <c r="O285" s="10">
        <v>42425</v>
      </c>
      <c r="P285" s="10">
        <v>108183.75</v>
      </c>
      <c r="Q285" s="12">
        <v>22369.61</v>
      </c>
      <c r="R285" s="17">
        <f t="shared" si="4"/>
        <v>0.20677421516632583</v>
      </c>
    </row>
    <row r="286" spans="2:18" x14ac:dyDescent="0.3">
      <c r="B286" s="20" t="s">
        <v>620</v>
      </c>
      <c r="C286" s="8">
        <v>45420</v>
      </c>
      <c r="D286" s="7" t="s">
        <v>621</v>
      </c>
      <c r="E286" s="7" t="s">
        <v>44</v>
      </c>
      <c r="F286" s="7" t="s">
        <v>37</v>
      </c>
      <c r="G286" s="7">
        <v>41</v>
      </c>
      <c r="H286" s="7" t="s">
        <v>20</v>
      </c>
      <c r="I286" s="7" t="s">
        <v>21</v>
      </c>
      <c r="J286" s="7" t="s">
        <v>30</v>
      </c>
      <c r="K286" s="7" t="s">
        <v>31</v>
      </c>
      <c r="L286" s="7" t="s">
        <v>80</v>
      </c>
      <c r="M286" s="7" t="s">
        <v>25</v>
      </c>
      <c r="N286" s="7">
        <v>1</v>
      </c>
      <c r="O286" s="7">
        <v>21755</v>
      </c>
      <c r="P286" s="7">
        <v>20667.25</v>
      </c>
      <c r="Q286" s="9">
        <v>3807.53</v>
      </c>
      <c r="R286" s="17">
        <f t="shared" si="4"/>
        <v>0.18423012253686388</v>
      </c>
    </row>
    <row r="287" spans="2:18" x14ac:dyDescent="0.3">
      <c r="B287" s="21" t="s">
        <v>622</v>
      </c>
      <c r="C287" s="11">
        <v>45303</v>
      </c>
      <c r="D287" s="10" t="s">
        <v>623</v>
      </c>
      <c r="E287" s="10" t="s">
        <v>65</v>
      </c>
      <c r="F287" s="10" t="s">
        <v>37</v>
      </c>
      <c r="G287" s="10">
        <v>55</v>
      </c>
      <c r="H287" s="10" t="s">
        <v>56</v>
      </c>
      <c r="I287" s="10" t="s">
        <v>21</v>
      </c>
      <c r="J287" s="10" t="s">
        <v>50</v>
      </c>
      <c r="K287" s="10" t="s">
        <v>31</v>
      </c>
      <c r="L287" s="10" t="s">
        <v>32</v>
      </c>
      <c r="M287" s="10" t="s">
        <v>33</v>
      </c>
      <c r="N287" s="10">
        <v>5</v>
      </c>
      <c r="O287" s="10">
        <v>14418</v>
      </c>
      <c r="P287" s="10">
        <v>72090</v>
      </c>
      <c r="Q287" s="12">
        <v>22093.79</v>
      </c>
      <c r="R287" s="17">
        <f t="shared" si="4"/>
        <v>0.30647510056873356</v>
      </c>
    </row>
    <row r="288" spans="2:18" x14ac:dyDescent="0.3">
      <c r="B288" s="20" t="s">
        <v>624</v>
      </c>
      <c r="C288" s="8">
        <v>45394</v>
      </c>
      <c r="D288" s="7" t="s">
        <v>625</v>
      </c>
      <c r="E288" s="7" t="s">
        <v>59</v>
      </c>
      <c r="F288" s="7" t="s">
        <v>37</v>
      </c>
      <c r="G288" s="7">
        <v>20</v>
      </c>
      <c r="H288" s="7" t="s">
        <v>20</v>
      </c>
      <c r="I288" s="7" t="s">
        <v>21</v>
      </c>
      <c r="J288" s="7" t="s">
        <v>22</v>
      </c>
      <c r="K288" s="7" t="s">
        <v>31</v>
      </c>
      <c r="L288" s="7" t="s">
        <v>47</v>
      </c>
      <c r="M288" s="7" t="s">
        <v>52</v>
      </c>
      <c r="N288" s="7">
        <v>1</v>
      </c>
      <c r="O288" s="7">
        <v>6929</v>
      </c>
      <c r="P288" s="7">
        <v>6236.1</v>
      </c>
      <c r="Q288" s="9">
        <v>2142.8000000000002</v>
      </c>
      <c r="R288" s="17">
        <f t="shared" si="4"/>
        <v>0.3436121935183849</v>
      </c>
    </row>
    <row r="289" spans="2:18" x14ac:dyDescent="0.3">
      <c r="B289" s="21" t="s">
        <v>626</v>
      </c>
      <c r="C289" s="11">
        <v>45556</v>
      </c>
      <c r="D289" s="10" t="s">
        <v>627</v>
      </c>
      <c r="E289" s="10" t="s">
        <v>65</v>
      </c>
      <c r="F289" s="10" t="s">
        <v>37</v>
      </c>
      <c r="G289" s="10">
        <v>36</v>
      </c>
      <c r="H289" s="10" t="s">
        <v>56</v>
      </c>
      <c r="I289" s="10" t="s">
        <v>21</v>
      </c>
      <c r="J289" s="10" t="s">
        <v>30</v>
      </c>
      <c r="K289" s="10" t="s">
        <v>31</v>
      </c>
      <c r="L289" s="10" t="s">
        <v>47</v>
      </c>
      <c r="M289" s="10" t="s">
        <v>25</v>
      </c>
      <c r="N289" s="10">
        <v>4</v>
      </c>
      <c r="O289" s="10">
        <v>31249</v>
      </c>
      <c r="P289" s="10">
        <v>112496.4</v>
      </c>
      <c r="Q289" s="12">
        <v>31119.01</v>
      </c>
      <c r="R289" s="17">
        <f t="shared" si="4"/>
        <v>0.27662227413499452</v>
      </c>
    </row>
    <row r="290" spans="2:18" x14ac:dyDescent="0.3">
      <c r="B290" s="20" t="s">
        <v>628</v>
      </c>
      <c r="C290" s="8">
        <v>45454</v>
      </c>
      <c r="D290" s="7" t="s">
        <v>629</v>
      </c>
      <c r="E290" s="7" t="s">
        <v>76</v>
      </c>
      <c r="F290" s="7" t="s">
        <v>37</v>
      </c>
      <c r="G290" s="7">
        <v>51</v>
      </c>
      <c r="H290" s="7" t="s">
        <v>38</v>
      </c>
      <c r="I290" s="7" t="s">
        <v>21</v>
      </c>
      <c r="J290" s="7" t="s">
        <v>50</v>
      </c>
      <c r="K290" s="7" t="s">
        <v>69</v>
      </c>
      <c r="L290" s="7" t="s">
        <v>80</v>
      </c>
      <c r="M290" s="7" t="s">
        <v>41</v>
      </c>
      <c r="N290" s="7">
        <v>1</v>
      </c>
      <c r="O290" s="7">
        <v>11977</v>
      </c>
      <c r="P290" s="7">
        <v>11977</v>
      </c>
      <c r="Q290" s="9">
        <v>3015.85</v>
      </c>
      <c r="R290" s="17">
        <f t="shared" si="4"/>
        <v>0.25180345662519826</v>
      </c>
    </row>
    <row r="291" spans="2:18" x14ac:dyDescent="0.3">
      <c r="B291" s="21" t="s">
        <v>630</v>
      </c>
      <c r="C291" s="11">
        <v>45488</v>
      </c>
      <c r="D291" s="10" t="s">
        <v>631</v>
      </c>
      <c r="E291" s="10" t="s">
        <v>76</v>
      </c>
      <c r="F291" s="10" t="s">
        <v>19</v>
      </c>
      <c r="G291" s="10">
        <v>59</v>
      </c>
      <c r="H291" s="10" t="s">
        <v>38</v>
      </c>
      <c r="I291" s="10" t="s">
        <v>21</v>
      </c>
      <c r="J291" s="10" t="s">
        <v>50</v>
      </c>
      <c r="K291" s="10" t="s">
        <v>40</v>
      </c>
      <c r="L291" s="10" t="s">
        <v>47</v>
      </c>
      <c r="M291" s="10" t="s">
        <v>33</v>
      </c>
      <c r="N291" s="10">
        <v>3</v>
      </c>
      <c r="O291" s="10">
        <v>29609</v>
      </c>
      <c r="P291" s="10">
        <v>71061.600000000006</v>
      </c>
      <c r="Q291" s="12">
        <v>22827.56</v>
      </c>
      <c r="R291" s="17">
        <f t="shared" si="4"/>
        <v>0.32123622322041723</v>
      </c>
    </row>
    <row r="292" spans="2:18" x14ac:dyDescent="0.3">
      <c r="B292" s="20" t="s">
        <v>632</v>
      </c>
      <c r="C292" s="8">
        <v>45315</v>
      </c>
      <c r="D292" s="7" t="s">
        <v>633</v>
      </c>
      <c r="E292" s="7" t="s">
        <v>44</v>
      </c>
      <c r="F292" s="7" t="s">
        <v>37</v>
      </c>
      <c r="G292" s="7">
        <v>24</v>
      </c>
      <c r="H292" s="7" t="s">
        <v>56</v>
      </c>
      <c r="I292" s="7" t="s">
        <v>21</v>
      </c>
      <c r="J292" s="7" t="s">
        <v>22</v>
      </c>
      <c r="K292" s="7" t="s">
        <v>40</v>
      </c>
      <c r="L292" s="7" t="s">
        <v>47</v>
      </c>
      <c r="M292" s="7" t="s">
        <v>52</v>
      </c>
      <c r="N292" s="7">
        <v>4</v>
      </c>
      <c r="O292" s="7">
        <v>26317</v>
      </c>
      <c r="P292" s="7">
        <v>94741.2</v>
      </c>
      <c r="Q292" s="9">
        <v>34564.53</v>
      </c>
      <c r="R292" s="17">
        <f t="shared" si="4"/>
        <v>0.36483103443908249</v>
      </c>
    </row>
    <row r="293" spans="2:18" x14ac:dyDescent="0.3">
      <c r="B293" s="21" t="s">
        <v>634</v>
      </c>
      <c r="C293" s="11">
        <v>45552</v>
      </c>
      <c r="D293" s="10" t="s">
        <v>635</v>
      </c>
      <c r="E293" s="10" t="s">
        <v>28</v>
      </c>
      <c r="F293" s="10" t="s">
        <v>37</v>
      </c>
      <c r="G293" s="10">
        <v>49</v>
      </c>
      <c r="H293" s="10" t="s">
        <v>66</v>
      </c>
      <c r="I293" s="10" t="s">
        <v>21</v>
      </c>
      <c r="J293" s="10" t="s">
        <v>50</v>
      </c>
      <c r="K293" s="10" t="s">
        <v>31</v>
      </c>
      <c r="L293" s="10" t="s">
        <v>47</v>
      </c>
      <c r="M293" s="10" t="s">
        <v>25</v>
      </c>
      <c r="N293" s="10">
        <v>3</v>
      </c>
      <c r="O293" s="10">
        <v>38712</v>
      </c>
      <c r="P293" s="10">
        <v>104522.4</v>
      </c>
      <c r="Q293" s="12">
        <v>36101.269999999997</v>
      </c>
      <c r="R293" s="17">
        <f t="shared" si="4"/>
        <v>0.34539266224273457</v>
      </c>
    </row>
    <row r="294" spans="2:18" x14ac:dyDescent="0.3">
      <c r="B294" s="20" t="s">
        <v>636</v>
      </c>
      <c r="C294" s="8">
        <v>45594</v>
      </c>
      <c r="D294" s="7" t="s">
        <v>637</v>
      </c>
      <c r="E294" s="7" t="s">
        <v>65</v>
      </c>
      <c r="F294" s="7" t="s">
        <v>19</v>
      </c>
      <c r="G294" s="7">
        <v>32</v>
      </c>
      <c r="H294" s="7" t="s">
        <v>20</v>
      </c>
      <c r="I294" s="7" t="s">
        <v>21</v>
      </c>
      <c r="J294" s="7" t="s">
        <v>30</v>
      </c>
      <c r="K294" s="7" t="s">
        <v>69</v>
      </c>
      <c r="L294" s="7" t="s">
        <v>80</v>
      </c>
      <c r="M294" s="7" t="s">
        <v>41</v>
      </c>
      <c r="N294" s="7">
        <v>2</v>
      </c>
      <c r="O294" s="7">
        <v>41107</v>
      </c>
      <c r="P294" s="7">
        <v>65771.199999999997</v>
      </c>
      <c r="Q294" s="9">
        <v>19000.009999999998</v>
      </c>
      <c r="R294" s="17">
        <f t="shared" si="4"/>
        <v>0.28888039141752014</v>
      </c>
    </row>
    <row r="295" spans="2:18" x14ac:dyDescent="0.3">
      <c r="B295" s="21" t="s">
        <v>638</v>
      </c>
      <c r="C295" s="11">
        <v>45395</v>
      </c>
      <c r="D295" s="10" t="s">
        <v>639</v>
      </c>
      <c r="E295" s="10" t="s">
        <v>55</v>
      </c>
      <c r="F295" s="10" t="s">
        <v>37</v>
      </c>
      <c r="G295" s="10">
        <v>48</v>
      </c>
      <c r="H295" s="10" t="s">
        <v>20</v>
      </c>
      <c r="I295" s="10" t="s">
        <v>21</v>
      </c>
      <c r="J295" s="10" t="s">
        <v>50</v>
      </c>
      <c r="K295" s="10" t="s">
        <v>40</v>
      </c>
      <c r="L295" s="10" t="s">
        <v>60</v>
      </c>
      <c r="M295" s="10" t="s">
        <v>41</v>
      </c>
      <c r="N295" s="10">
        <v>4</v>
      </c>
      <c r="O295" s="10">
        <v>9848</v>
      </c>
      <c r="P295" s="10">
        <v>31513.599999999999</v>
      </c>
      <c r="Q295" s="12">
        <v>4913.43</v>
      </c>
      <c r="R295" s="17">
        <f t="shared" si="4"/>
        <v>0.15591458925670187</v>
      </c>
    </row>
    <row r="296" spans="2:18" x14ac:dyDescent="0.3">
      <c r="B296" s="20" t="s">
        <v>640</v>
      </c>
      <c r="C296" s="8">
        <v>45571</v>
      </c>
      <c r="D296" s="7" t="s">
        <v>641</v>
      </c>
      <c r="E296" s="7" t="s">
        <v>18</v>
      </c>
      <c r="F296" s="7" t="s">
        <v>19</v>
      </c>
      <c r="G296" s="7">
        <v>60</v>
      </c>
      <c r="H296" s="7" t="s">
        <v>45</v>
      </c>
      <c r="I296" s="7" t="s">
        <v>39</v>
      </c>
      <c r="J296" s="7" t="s">
        <v>30</v>
      </c>
      <c r="K296" s="7" t="s">
        <v>40</v>
      </c>
      <c r="L296" s="7" t="s">
        <v>47</v>
      </c>
      <c r="M296" s="7" t="s">
        <v>33</v>
      </c>
      <c r="N296" s="7">
        <v>1</v>
      </c>
      <c r="O296" s="7">
        <v>32688</v>
      </c>
      <c r="P296" s="7">
        <v>31053.599999999999</v>
      </c>
      <c r="Q296" s="9">
        <v>5965.94</v>
      </c>
      <c r="R296" s="17">
        <f t="shared" si="4"/>
        <v>0.19211750006440476</v>
      </c>
    </row>
    <row r="297" spans="2:18" x14ac:dyDescent="0.3">
      <c r="B297" s="21" t="s">
        <v>642</v>
      </c>
      <c r="C297" s="11">
        <v>45454</v>
      </c>
      <c r="D297" s="10" t="s">
        <v>643</v>
      </c>
      <c r="E297" s="10" t="s">
        <v>28</v>
      </c>
      <c r="F297" s="10" t="s">
        <v>37</v>
      </c>
      <c r="G297" s="10">
        <v>55</v>
      </c>
      <c r="H297" s="10" t="s">
        <v>56</v>
      </c>
      <c r="I297" s="10" t="s">
        <v>21</v>
      </c>
      <c r="J297" s="10" t="s">
        <v>30</v>
      </c>
      <c r="K297" s="10" t="s">
        <v>31</v>
      </c>
      <c r="L297" s="10" t="s">
        <v>80</v>
      </c>
      <c r="M297" s="10" t="s">
        <v>41</v>
      </c>
      <c r="N297" s="10">
        <v>1</v>
      </c>
      <c r="O297" s="10">
        <v>44040</v>
      </c>
      <c r="P297" s="10">
        <v>44040</v>
      </c>
      <c r="Q297" s="12">
        <v>14011.47</v>
      </c>
      <c r="R297" s="17">
        <f t="shared" si="4"/>
        <v>0.31815326975476838</v>
      </c>
    </row>
    <row r="298" spans="2:18" x14ac:dyDescent="0.3">
      <c r="B298" s="20" t="s">
        <v>644</v>
      </c>
      <c r="C298" s="8">
        <v>45512</v>
      </c>
      <c r="D298" s="7" t="s">
        <v>645</v>
      </c>
      <c r="E298" s="7" t="s">
        <v>79</v>
      </c>
      <c r="F298" s="7" t="s">
        <v>19</v>
      </c>
      <c r="G298" s="7">
        <v>31</v>
      </c>
      <c r="H298" s="7" t="s">
        <v>66</v>
      </c>
      <c r="I298" s="7" t="s">
        <v>21</v>
      </c>
      <c r="J298" s="7" t="s">
        <v>30</v>
      </c>
      <c r="K298" s="7" t="s">
        <v>51</v>
      </c>
      <c r="L298" s="7" t="s">
        <v>24</v>
      </c>
      <c r="M298" s="7" t="s">
        <v>25</v>
      </c>
      <c r="N298" s="7">
        <v>5</v>
      </c>
      <c r="O298" s="7">
        <v>45900</v>
      </c>
      <c r="P298" s="7">
        <v>206550</v>
      </c>
      <c r="Q298" s="9">
        <v>41403.370000000003</v>
      </c>
      <c r="R298" s="17">
        <f t="shared" si="4"/>
        <v>0.20045204550956186</v>
      </c>
    </row>
    <row r="299" spans="2:18" x14ac:dyDescent="0.3">
      <c r="B299" s="21" t="s">
        <v>646</v>
      </c>
      <c r="C299" s="11">
        <v>45461</v>
      </c>
      <c r="D299" s="10" t="s">
        <v>647</v>
      </c>
      <c r="E299" s="10" t="s">
        <v>18</v>
      </c>
      <c r="F299" s="10" t="s">
        <v>37</v>
      </c>
      <c r="G299" s="10">
        <v>31</v>
      </c>
      <c r="H299" s="10" t="s">
        <v>45</v>
      </c>
      <c r="I299" s="10" t="s">
        <v>21</v>
      </c>
      <c r="J299" s="10" t="s">
        <v>30</v>
      </c>
      <c r="K299" s="10" t="s">
        <v>40</v>
      </c>
      <c r="L299" s="10" t="s">
        <v>60</v>
      </c>
      <c r="M299" s="10" t="s">
        <v>25</v>
      </c>
      <c r="N299" s="10">
        <v>3</v>
      </c>
      <c r="O299" s="10">
        <v>6937</v>
      </c>
      <c r="P299" s="10">
        <v>19770.45</v>
      </c>
      <c r="Q299" s="12">
        <v>5496.63</v>
      </c>
      <c r="R299" s="17">
        <f t="shared" si="4"/>
        <v>0.27802250328141243</v>
      </c>
    </row>
    <row r="300" spans="2:18" x14ac:dyDescent="0.3">
      <c r="B300" s="20" t="s">
        <v>648</v>
      </c>
      <c r="C300" s="8">
        <v>45311</v>
      </c>
      <c r="D300" s="7" t="s">
        <v>649</v>
      </c>
      <c r="E300" s="7" t="s">
        <v>79</v>
      </c>
      <c r="F300" s="7" t="s">
        <v>37</v>
      </c>
      <c r="G300" s="7">
        <v>31</v>
      </c>
      <c r="H300" s="7" t="s">
        <v>66</v>
      </c>
      <c r="I300" s="7" t="s">
        <v>21</v>
      </c>
      <c r="J300" s="7" t="s">
        <v>30</v>
      </c>
      <c r="K300" s="7" t="s">
        <v>23</v>
      </c>
      <c r="L300" s="7" t="s">
        <v>32</v>
      </c>
      <c r="M300" s="7" t="s">
        <v>41</v>
      </c>
      <c r="N300" s="7">
        <v>2</v>
      </c>
      <c r="O300" s="7">
        <v>8557</v>
      </c>
      <c r="P300" s="7">
        <v>15402.6</v>
      </c>
      <c r="Q300" s="9">
        <v>3622.98</v>
      </c>
      <c r="R300" s="17">
        <f t="shared" si="4"/>
        <v>0.23521872930544194</v>
      </c>
    </row>
    <row r="301" spans="2:18" x14ac:dyDescent="0.3">
      <c r="B301" s="21" t="s">
        <v>650</v>
      </c>
      <c r="C301" s="11">
        <v>45443</v>
      </c>
      <c r="D301" s="10" t="s">
        <v>651</v>
      </c>
      <c r="E301" s="10" t="s">
        <v>18</v>
      </c>
      <c r="F301" s="10" t="s">
        <v>37</v>
      </c>
      <c r="G301" s="10">
        <v>26</v>
      </c>
      <c r="H301" s="10" t="s">
        <v>38</v>
      </c>
      <c r="I301" s="10" t="s">
        <v>21</v>
      </c>
      <c r="J301" s="10" t="s">
        <v>22</v>
      </c>
      <c r="K301" s="10" t="s">
        <v>40</v>
      </c>
      <c r="L301" s="10" t="s">
        <v>32</v>
      </c>
      <c r="M301" s="10" t="s">
        <v>52</v>
      </c>
      <c r="N301" s="10">
        <v>2</v>
      </c>
      <c r="O301" s="10">
        <v>30079</v>
      </c>
      <c r="P301" s="10">
        <v>51134.3</v>
      </c>
      <c r="Q301" s="12">
        <v>12882.69</v>
      </c>
      <c r="R301" s="17">
        <f t="shared" si="4"/>
        <v>0.25193832711115632</v>
      </c>
    </row>
    <row r="302" spans="2:18" x14ac:dyDescent="0.3">
      <c r="B302" s="20" t="s">
        <v>652</v>
      </c>
      <c r="C302" s="8">
        <v>45598</v>
      </c>
      <c r="D302" s="7" t="s">
        <v>653</v>
      </c>
      <c r="E302" s="7" t="s">
        <v>55</v>
      </c>
      <c r="F302" s="7" t="s">
        <v>37</v>
      </c>
      <c r="G302" s="7">
        <v>53</v>
      </c>
      <c r="H302" s="7" t="s">
        <v>45</v>
      </c>
      <c r="I302" s="7" t="s">
        <v>21</v>
      </c>
      <c r="J302" s="7" t="s">
        <v>50</v>
      </c>
      <c r="K302" s="7" t="s">
        <v>40</v>
      </c>
      <c r="L302" s="7" t="s">
        <v>24</v>
      </c>
      <c r="M302" s="7" t="s">
        <v>33</v>
      </c>
      <c r="N302" s="7">
        <v>3</v>
      </c>
      <c r="O302" s="7">
        <v>14206</v>
      </c>
      <c r="P302" s="7">
        <v>40487.1</v>
      </c>
      <c r="Q302" s="9">
        <v>8518.89</v>
      </c>
      <c r="R302" s="17">
        <f t="shared" si="4"/>
        <v>0.2104099824388509</v>
      </c>
    </row>
    <row r="303" spans="2:18" x14ac:dyDescent="0.3">
      <c r="B303" s="21" t="s">
        <v>654</v>
      </c>
      <c r="C303" s="11">
        <v>45319</v>
      </c>
      <c r="D303" s="10" t="s">
        <v>655</v>
      </c>
      <c r="E303" s="10" t="s">
        <v>79</v>
      </c>
      <c r="F303" s="10" t="s">
        <v>19</v>
      </c>
      <c r="G303" s="10">
        <v>35</v>
      </c>
      <c r="H303" s="10" t="s">
        <v>20</v>
      </c>
      <c r="I303" s="10" t="s">
        <v>21</v>
      </c>
      <c r="J303" s="10" t="s">
        <v>50</v>
      </c>
      <c r="K303" s="10" t="s">
        <v>40</v>
      </c>
      <c r="L303" s="10" t="s">
        <v>32</v>
      </c>
      <c r="M303" s="10" t="s">
        <v>25</v>
      </c>
      <c r="N303" s="10">
        <v>1</v>
      </c>
      <c r="O303" s="10">
        <v>36863</v>
      </c>
      <c r="P303" s="10">
        <v>33176.699999999997</v>
      </c>
      <c r="Q303" s="12">
        <v>7983.4</v>
      </c>
      <c r="R303" s="17">
        <f t="shared" si="4"/>
        <v>0.24063273321336964</v>
      </c>
    </row>
    <row r="304" spans="2:18" x14ac:dyDescent="0.3">
      <c r="B304" s="20" t="s">
        <v>656</v>
      </c>
      <c r="C304" s="8">
        <v>45565</v>
      </c>
      <c r="D304" s="7" t="s">
        <v>657</v>
      </c>
      <c r="E304" s="7" t="s">
        <v>76</v>
      </c>
      <c r="F304" s="7" t="s">
        <v>37</v>
      </c>
      <c r="G304" s="7">
        <v>24</v>
      </c>
      <c r="H304" s="7" t="s">
        <v>66</v>
      </c>
      <c r="I304" s="7" t="s">
        <v>21</v>
      </c>
      <c r="J304" s="7" t="s">
        <v>22</v>
      </c>
      <c r="K304" s="7" t="s">
        <v>23</v>
      </c>
      <c r="L304" s="7" t="s">
        <v>60</v>
      </c>
      <c r="M304" s="7" t="s">
        <v>25</v>
      </c>
      <c r="N304" s="7">
        <v>1</v>
      </c>
      <c r="O304" s="7">
        <v>48820</v>
      </c>
      <c r="P304" s="7">
        <v>46379</v>
      </c>
      <c r="Q304" s="9">
        <v>7629.75</v>
      </c>
      <c r="R304" s="17">
        <f t="shared" si="4"/>
        <v>0.16450872161969857</v>
      </c>
    </row>
    <row r="305" spans="2:18" x14ac:dyDescent="0.3">
      <c r="B305" s="21" t="s">
        <v>658</v>
      </c>
      <c r="C305" s="11">
        <v>45382</v>
      </c>
      <c r="D305" s="10" t="s">
        <v>659</v>
      </c>
      <c r="E305" s="10" t="s">
        <v>36</v>
      </c>
      <c r="F305" s="10" t="s">
        <v>19</v>
      </c>
      <c r="G305" s="10">
        <v>34</v>
      </c>
      <c r="H305" s="10" t="s">
        <v>29</v>
      </c>
      <c r="I305" s="10" t="s">
        <v>21</v>
      </c>
      <c r="J305" s="10" t="s">
        <v>30</v>
      </c>
      <c r="K305" s="10" t="s">
        <v>31</v>
      </c>
      <c r="L305" s="10" t="s">
        <v>80</v>
      </c>
      <c r="M305" s="10" t="s">
        <v>25</v>
      </c>
      <c r="N305" s="10">
        <v>1</v>
      </c>
      <c r="O305" s="10">
        <v>39602</v>
      </c>
      <c r="P305" s="10">
        <v>39602</v>
      </c>
      <c r="Q305" s="12">
        <v>8349.25</v>
      </c>
      <c r="R305" s="17">
        <f t="shared" si="4"/>
        <v>0.2108289985354275</v>
      </c>
    </row>
    <row r="306" spans="2:18" x14ac:dyDescent="0.3">
      <c r="B306" s="20" t="s">
        <v>660</v>
      </c>
      <c r="C306" s="8">
        <v>45390</v>
      </c>
      <c r="D306" s="7" t="s">
        <v>661</v>
      </c>
      <c r="E306" s="7" t="s">
        <v>93</v>
      </c>
      <c r="F306" s="7" t="s">
        <v>37</v>
      </c>
      <c r="G306" s="7">
        <v>35</v>
      </c>
      <c r="H306" s="7" t="s">
        <v>56</v>
      </c>
      <c r="I306" s="7" t="s">
        <v>21</v>
      </c>
      <c r="J306" s="7" t="s">
        <v>30</v>
      </c>
      <c r="K306" s="7" t="s">
        <v>51</v>
      </c>
      <c r="L306" s="7" t="s">
        <v>32</v>
      </c>
      <c r="M306" s="7" t="s">
        <v>52</v>
      </c>
      <c r="N306" s="7">
        <v>2</v>
      </c>
      <c r="O306" s="7">
        <v>14337</v>
      </c>
      <c r="P306" s="7">
        <v>24372.9</v>
      </c>
      <c r="Q306" s="9">
        <v>8374.17</v>
      </c>
      <c r="R306" s="17">
        <f t="shared" si="4"/>
        <v>0.3435852935022094</v>
      </c>
    </row>
    <row r="307" spans="2:18" x14ac:dyDescent="0.3">
      <c r="B307" s="21" t="s">
        <v>662</v>
      </c>
      <c r="C307" s="11">
        <v>45357</v>
      </c>
      <c r="D307" s="10" t="s">
        <v>663</v>
      </c>
      <c r="E307" s="10" t="s">
        <v>44</v>
      </c>
      <c r="F307" s="10" t="s">
        <v>19</v>
      </c>
      <c r="G307" s="10">
        <v>37</v>
      </c>
      <c r="H307" s="10" t="s">
        <v>20</v>
      </c>
      <c r="I307" s="10" t="s">
        <v>46</v>
      </c>
      <c r="J307" s="10" t="s">
        <v>30</v>
      </c>
      <c r="K307" s="10" t="s">
        <v>40</v>
      </c>
      <c r="L307" s="10" t="s">
        <v>60</v>
      </c>
      <c r="M307" s="10" t="s">
        <v>25</v>
      </c>
      <c r="N307" s="10">
        <v>4</v>
      </c>
      <c r="O307" s="10">
        <v>13158</v>
      </c>
      <c r="P307" s="10">
        <v>44737.2</v>
      </c>
      <c r="Q307" s="12">
        <v>17209.37</v>
      </c>
      <c r="R307" s="17">
        <f t="shared" si="4"/>
        <v>0.38467695787845463</v>
      </c>
    </row>
    <row r="308" spans="2:18" x14ac:dyDescent="0.3">
      <c r="B308" s="20" t="s">
        <v>664</v>
      </c>
      <c r="C308" s="8">
        <v>45434</v>
      </c>
      <c r="D308" s="7" t="s">
        <v>665</v>
      </c>
      <c r="E308" s="7" t="s">
        <v>36</v>
      </c>
      <c r="F308" s="7" t="s">
        <v>19</v>
      </c>
      <c r="G308" s="7">
        <v>30</v>
      </c>
      <c r="H308" s="7" t="s">
        <v>29</v>
      </c>
      <c r="I308" s="7" t="s">
        <v>21</v>
      </c>
      <c r="J308" s="7" t="s">
        <v>30</v>
      </c>
      <c r="K308" s="7" t="s">
        <v>69</v>
      </c>
      <c r="L308" s="7" t="s">
        <v>80</v>
      </c>
      <c r="M308" s="7" t="s">
        <v>33</v>
      </c>
      <c r="N308" s="7">
        <v>5</v>
      </c>
      <c r="O308" s="7">
        <v>45616</v>
      </c>
      <c r="P308" s="7">
        <v>216676</v>
      </c>
      <c r="Q308" s="9">
        <v>47929.42</v>
      </c>
      <c r="R308" s="17">
        <f t="shared" si="4"/>
        <v>0.22120317893998412</v>
      </c>
    </row>
    <row r="309" spans="2:18" x14ac:dyDescent="0.3">
      <c r="B309" s="21" t="s">
        <v>666</v>
      </c>
      <c r="C309" s="11">
        <v>45542</v>
      </c>
      <c r="D309" s="10" t="s">
        <v>667</v>
      </c>
      <c r="E309" s="10" t="s">
        <v>93</v>
      </c>
      <c r="F309" s="10" t="s">
        <v>19</v>
      </c>
      <c r="G309" s="10">
        <v>53</v>
      </c>
      <c r="H309" s="10" t="s">
        <v>45</v>
      </c>
      <c r="I309" s="10" t="s">
        <v>21</v>
      </c>
      <c r="J309" s="10" t="s">
        <v>30</v>
      </c>
      <c r="K309" s="10" t="s">
        <v>23</v>
      </c>
      <c r="L309" s="10" t="s">
        <v>47</v>
      </c>
      <c r="M309" s="10" t="s">
        <v>52</v>
      </c>
      <c r="N309" s="10">
        <v>4</v>
      </c>
      <c r="O309" s="10">
        <v>24613</v>
      </c>
      <c r="P309" s="10">
        <v>88606.8</v>
      </c>
      <c r="Q309" s="12">
        <v>20544.259999999998</v>
      </c>
      <c r="R309" s="17">
        <f t="shared" si="4"/>
        <v>0.23185872867545151</v>
      </c>
    </row>
    <row r="310" spans="2:18" x14ac:dyDescent="0.3">
      <c r="B310" s="20" t="s">
        <v>668</v>
      </c>
      <c r="C310" s="8">
        <v>45321</v>
      </c>
      <c r="D310" s="7" t="s">
        <v>669</v>
      </c>
      <c r="E310" s="7" t="s">
        <v>44</v>
      </c>
      <c r="F310" s="7" t="s">
        <v>37</v>
      </c>
      <c r="G310" s="7">
        <v>36</v>
      </c>
      <c r="H310" s="7" t="s">
        <v>38</v>
      </c>
      <c r="I310" s="7" t="s">
        <v>21</v>
      </c>
      <c r="J310" s="7" t="s">
        <v>22</v>
      </c>
      <c r="K310" s="7" t="s">
        <v>23</v>
      </c>
      <c r="L310" s="7" t="s">
        <v>32</v>
      </c>
      <c r="M310" s="7" t="s">
        <v>52</v>
      </c>
      <c r="N310" s="7">
        <v>5</v>
      </c>
      <c r="O310" s="7">
        <v>47059</v>
      </c>
      <c r="P310" s="7">
        <v>223530.25</v>
      </c>
      <c r="Q310" s="9">
        <v>48935.54</v>
      </c>
      <c r="R310" s="17">
        <f t="shared" si="4"/>
        <v>0.21892133167658517</v>
      </c>
    </row>
    <row r="311" spans="2:18" x14ac:dyDescent="0.3">
      <c r="B311" s="21" t="s">
        <v>670</v>
      </c>
      <c r="C311" s="11">
        <v>45541</v>
      </c>
      <c r="D311" s="10" t="s">
        <v>671</v>
      </c>
      <c r="E311" s="10" t="s">
        <v>36</v>
      </c>
      <c r="F311" s="10" t="s">
        <v>19</v>
      </c>
      <c r="G311" s="10">
        <v>23</v>
      </c>
      <c r="H311" s="10" t="s">
        <v>45</v>
      </c>
      <c r="I311" s="10" t="s">
        <v>21</v>
      </c>
      <c r="J311" s="10" t="s">
        <v>50</v>
      </c>
      <c r="K311" s="10" t="s">
        <v>51</v>
      </c>
      <c r="L311" s="10" t="s">
        <v>32</v>
      </c>
      <c r="M311" s="10" t="s">
        <v>52</v>
      </c>
      <c r="N311" s="10">
        <v>5</v>
      </c>
      <c r="O311" s="10">
        <v>11689</v>
      </c>
      <c r="P311" s="10">
        <v>55522.75</v>
      </c>
      <c r="Q311" s="12">
        <v>20611.810000000001</v>
      </c>
      <c r="R311" s="17">
        <f t="shared" si="4"/>
        <v>0.37123179237339654</v>
      </c>
    </row>
    <row r="312" spans="2:18" x14ac:dyDescent="0.3">
      <c r="B312" s="20" t="s">
        <v>672</v>
      </c>
      <c r="C312" s="8">
        <v>45402</v>
      </c>
      <c r="D312" s="7" t="s">
        <v>673</v>
      </c>
      <c r="E312" s="7" t="s">
        <v>65</v>
      </c>
      <c r="F312" s="7" t="s">
        <v>37</v>
      </c>
      <c r="G312" s="7">
        <v>23</v>
      </c>
      <c r="H312" s="7" t="s">
        <v>56</v>
      </c>
      <c r="I312" s="7" t="s">
        <v>46</v>
      </c>
      <c r="J312" s="7" t="s">
        <v>50</v>
      </c>
      <c r="K312" s="7" t="s">
        <v>40</v>
      </c>
      <c r="L312" s="7" t="s">
        <v>80</v>
      </c>
      <c r="M312" s="7" t="s">
        <v>41</v>
      </c>
      <c r="N312" s="7">
        <v>3</v>
      </c>
      <c r="O312" s="7">
        <v>38400</v>
      </c>
      <c r="P312" s="7">
        <v>115200</v>
      </c>
      <c r="Q312" s="9">
        <v>26500.560000000001</v>
      </c>
      <c r="R312" s="17">
        <f t="shared" si="4"/>
        <v>0.23003958333333335</v>
      </c>
    </row>
    <row r="313" spans="2:18" x14ac:dyDescent="0.3">
      <c r="B313" s="21" t="s">
        <v>674</v>
      </c>
      <c r="C313" s="11">
        <v>45543</v>
      </c>
      <c r="D313" s="10" t="s">
        <v>675</v>
      </c>
      <c r="E313" s="10" t="s">
        <v>55</v>
      </c>
      <c r="F313" s="10" t="s">
        <v>37</v>
      </c>
      <c r="G313" s="10">
        <v>50</v>
      </c>
      <c r="H313" s="10" t="s">
        <v>45</v>
      </c>
      <c r="I313" s="10" t="s">
        <v>21</v>
      </c>
      <c r="J313" s="10" t="s">
        <v>30</v>
      </c>
      <c r="K313" s="10" t="s">
        <v>51</v>
      </c>
      <c r="L313" s="10" t="s">
        <v>24</v>
      </c>
      <c r="M313" s="10" t="s">
        <v>41</v>
      </c>
      <c r="N313" s="10">
        <v>1</v>
      </c>
      <c r="O313" s="10">
        <v>34050</v>
      </c>
      <c r="P313" s="10">
        <v>27240</v>
      </c>
      <c r="Q313" s="12">
        <v>10715.66</v>
      </c>
      <c r="R313" s="17">
        <f t="shared" si="4"/>
        <v>0.39337958883994123</v>
      </c>
    </row>
    <row r="314" spans="2:18" x14ac:dyDescent="0.3">
      <c r="B314" s="20" t="s">
        <v>676</v>
      </c>
      <c r="C314" s="8">
        <v>45583</v>
      </c>
      <c r="D314" s="7" t="s">
        <v>677</v>
      </c>
      <c r="E314" s="7" t="s">
        <v>36</v>
      </c>
      <c r="F314" s="7" t="s">
        <v>19</v>
      </c>
      <c r="G314" s="7">
        <v>35</v>
      </c>
      <c r="H314" s="7" t="s">
        <v>20</v>
      </c>
      <c r="I314" s="7" t="s">
        <v>21</v>
      </c>
      <c r="J314" s="7" t="s">
        <v>30</v>
      </c>
      <c r="K314" s="7" t="s">
        <v>69</v>
      </c>
      <c r="L314" s="7" t="s">
        <v>24</v>
      </c>
      <c r="M314" s="7" t="s">
        <v>33</v>
      </c>
      <c r="N314" s="7">
        <v>2</v>
      </c>
      <c r="O314" s="7">
        <v>5943</v>
      </c>
      <c r="P314" s="7">
        <v>10103.1</v>
      </c>
      <c r="Q314" s="9">
        <v>3195.1</v>
      </c>
      <c r="R314" s="17">
        <f t="shared" si="4"/>
        <v>0.31624946798507386</v>
      </c>
    </row>
    <row r="315" spans="2:18" x14ac:dyDescent="0.3">
      <c r="B315" s="21" t="s">
        <v>678</v>
      </c>
      <c r="C315" s="11">
        <v>45617</v>
      </c>
      <c r="D315" s="10" t="s">
        <v>679</v>
      </c>
      <c r="E315" s="10" t="s">
        <v>79</v>
      </c>
      <c r="F315" s="10" t="s">
        <v>37</v>
      </c>
      <c r="G315" s="10">
        <v>26</v>
      </c>
      <c r="H315" s="10" t="s">
        <v>56</v>
      </c>
      <c r="I315" s="10" t="s">
        <v>39</v>
      </c>
      <c r="J315" s="10" t="s">
        <v>22</v>
      </c>
      <c r="K315" s="10" t="s">
        <v>40</v>
      </c>
      <c r="L315" s="10" t="s">
        <v>80</v>
      </c>
      <c r="M315" s="10" t="s">
        <v>25</v>
      </c>
      <c r="N315" s="10">
        <v>2</v>
      </c>
      <c r="O315" s="10">
        <v>8173</v>
      </c>
      <c r="P315" s="10">
        <v>14711.4</v>
      </c>
      <c r="Q315" s="12">
        <v>4548.9399999999996</v>
      </c>
      <c r="R315" s="17">
        <f t="shared" si="4"/>
        <v>0.30921190369373408</v>
      </c>
    </row>
    <row r="316" spans="2:18" x14ac:dyDescent="0.3">
      <c r="B316" s="20" t="s">
        <v>680</v>
      </c>
      <c r="C316" s="8">
        <v>45447</v>
      </c>
      <c r="D316" s="7" t="s">
        <v>681</v>
      </c>
      <c r="E316" s="7" t="s">
        <v>55</v>
      </c>
      <c r="F316" s="7" t="s">
        <v>19</v>
      </c>
      <c r="G316" s="7">
        <v>23</v>
      </c>
      <c r="H316" s="7" t="s">
        <v>20</v>
      </c>
      <c r="I316" s="7" t="s">
        <v>21</v>
      </c>
      <c r="J316" s="7" t="s">
        <v>30</v>
      </c>
      <c r="K316" s="7" t="s">
        <v>51</v>
      </c>
      <c r="L316" s="7" t="s">
        <v>24</v>
      </c>
      <c r="M316" s="7" t="s">
        <v>33</v>
      </c>
      <c r="N316" s="7">
        <v>4</v>
      </c>
      <c r="O316" s="7">
        <v>21560</v>
      </c>
      <c r="P316" s="7">
        <v>77616</v>
      </c>
      <c r="Q316" s="9">
        <v>18242.3</v>
      </c>
      <c r="R316" s="17">
        <f t="shared" si="4"/>
        <v>0.23503272521129662</v>
      </c>
    </row>
    <row r="317" spans="2:18" x14ac:dyDescent="0.3">
      <c r="B317" s="21" t="s">
        <v>682</v>
      </c>
      <c r="C317" s="11">
        <v>45537</v>
      </c>
      <c r="D317" s="10" t="s">
        <v>683</v>
      </c>
      <c r="E317" s="10" t="s">
        <v>18</v>
      </c>
      <c r="F317" s="10" t="s">
        <v>37</v>
      </c>
      <c r="G317" s="10">
        <v>57</v>
      </c>
      <c r="H317" s="10" t="s">
        <v>29</v>
      </c>
      <c r="I317" s="10" t="s">
        <v>46</v>
      </c>
      <c r="J317" s="10" t="s">
        <v>50</v>
      </c>
      <c r="K317" s="10" t="s">
        <v>23</v>
      </c>
      <c r="L317" s="10" t="s">
        <v>32</v>
      </c>
      <c r="M317" s="10" t="s">
        <v>52</v>
      </c>
      <c r="N317" s="10">
        <v>4</v>
      </c>
      <c r="O317" s="10">
        <v>30465</v>
      </c>
      <c r="P317" s="10">
        <v>115767</v>
      </c>
      <c r="Q317" s="12">
        <v>43937.89</v>
      </c>
      <c r="R317" s="17">
        <f t="shared" si="4"/>
        <v>0.37953726018640888</v>
      </c>
    </row>
    <row r="318" spans="2:18" x14ac:dyDescent="0.3">
      <c r="B318" s="20" t="s">
        <v>684</v>
      </c>
      <c r="C318" s="8">
        <v>45517</v>
      </c>
      <c r="D318" s="7" t="s">
        <v>685</v>
      </c>
      <c r="E318" s="7" t="s">
        <v>28</v>
      </c>
      <c r="F318" s="7" t="s">
        <v>19</v>
      </c>
      <c r="G318" s="7">
        <v>48</v>
      </c>
      <c r="H318" s="7" t="s">
        <v>20</v>
      </c>
      <c r="I318" s="7" t="s">
        <v>21</v>
      </c>
      <c r="J318" s="7" t="s">
        <v>50</v>
      </c>
      <c r="K318" s="7" t="s">
        <v>40</v>
      </c>
      <c r="L318" s="7" t="s">
        <v>80</v>
      </c>
      <c r="M318" s="7" t="s">
        <v>41</v>
      </c>
      <c r="N318" s="7">
        <v>2</v>
      </c>
      <c r="O318" s="7">
        <v>48521</v>
      </c>
      <c r="P318" s="7">
        <v>92189.9</v>
      </c>
      <c r="Q318" s="9">
        <v>27369.5</v>
      </c>
      <c r="R318" s="17">
        <f t="shared" si="4"/>
        <v>0.29688176253580928</v>
      </c>
    </row>
    <row r="319" spans="2:18" x14ac:dyDescent="0.3">
      <c r="B319" s="21" t="s">
        <v>686</v>
      </c>
      <c r="C319" s="11">
        <v>45548</v>
      </c>
      <c r="D319" s="10" t="s">
        <v>687</v>
      </c>
      <c r="E319" s="10" t="s">
        <v>18</v>
      </c>
      <c r="F319" s="10" t="s">
        <v>19</v>
      </c>
      <c r="G319" s="10">
        <v>50</v>
      </c>
      <c r="H319" s="10" t="s">
        <v>56</v>
      </c>
      <c r="I319" s="10" t="s">
        <v>21</v>
      </c>
      <c r="J319" s="10" t="s">
        <v>50</v>
      </c>
      <c r="K319" s="10" t="s">
        <v>40</v>
      </c>
      <c r="L319" s="10" t="s">
        <v>32</v>
      </c>
      <c r="M319" s="10" t="s">
        <v>41</v>
      </c>
      <c r="N319" s="10">
        <v>4</v>
      </c>
      <c r="O319" s="10">
        <v>1828</v>
      </c>
      <c r="P319" s="10">
        <v>7312</v>
      </c>
      <c r="Q319" s="12">
        <v>2138.67</v>
      </c>
      <c r="R319" s="17">
        <f t="shared" si="4"/>
        <v>0.29248769146608317</v>
      </c>
    </row>
    <row r="320" spans="2:18" x14ac:dyDescent="0.3">
      <c r="B320" s="20" t="s">
        <v>688</v>
      </c>
      <c r="C320" s="8">
        <v>45505</v>
      </c>
      <c r="D320" s="7" t="s">
        <v>689</v>
      </c>
      <c r="E320" s="7" t="s">
        <v>76</v>
      </c>
      <c r="F320" s="7" t="s">
        <v>37</v>
      </c>
      <c r="G320" s="7">
        <v>27</v>
      </c>
      <c r="H320" s="7" t="s">
        <v>56</v>
      </c>
      <c r="I320" s="7" t="s">
        <v>46</v>
      </c>
      <c r="J320" s="7" t="s">
        <v>50</v>
      </c>
      <c r="K320" s="7" t="s">
        <v>23</v>
      </c>
      <c r="L320" s="7" t="s">
        <v>60</v>
      </c>
      <c r="M320" s="7" t="s">
        <v>25</v>
      </c>
      <c r="N320" s="7">
        <v>5</v>
      </c>
      <c r="O320" s="7">
        <v>25780</v>
      </c>
      <c r="P320" s="7">
        <v>116010</v>
      </c>
      <c r="Q320" s="9">
        <v>37720.410000000003</v>
      </c>
      <c r="R320" s="17">
        <f t="shared" si="4"/>
        <v>0.32514791828290668</v>
      </c>
    </row>
    <row r="321" spans="2:18" x14ac:dyDescent="0.3">
      <c r="B321" s="21" t="s">
        <v>690</v>
      </c>
      <c r="C321" s="11">
        <v>45437</v>
      </c>
      <c r="D321" s="10" t="s">
        <v>691</v>
      </c>
      <c r="E321" s="10" t="s">
        <v>28</v>
      </c>
      <c r="F321" s="10" t="s">
        <v>37</v>
      </c>
      <c r="G321" s="10">
        <v>22</v>
      </c>
      <c r="H321" s="10" t="s">
        <v>20</v>
      </c>
      <c r="I321" s="10" t="s">
        <v>46</v>
      </c>
      <c r="J321" s="10" t="s">
        <v>30</v>
      </c>
      <c r="K321" s="10" t="s">
        <v>23</v>
      </c>
      <c r="L321" s="10" t="s">
        <v>60</v>
      </c>
      <c r="M321" s="10" t="s">
        <v>41</v>
      </c>
      <c r="N321" s="10">
        <v>5</v>
      </c>
      <c r="O321" s="10">
        <v>11241</v>
      </c>
      <c r="P321" s="10">
        <v>47774.25</v>
      </c>
      <c r="Q321" s="12">
        <v>10017.780000000001</v>
      </c>
      <c r="R321" s="17">
        <f t="shared" si="4"/>
        <v>0.20968994803686086</v>
      </c>
    </row>
    <row r="322" spans="2:18" x14ac:dyDescent="0.3">
      <c r="B322" s="20" t="s">
        <v>692</v>
      </c>
      <c r="C322" s="8">
        <v>45465</v>
      </c>
      <c r="D322" s="7" t="s">
        <v>693</v>
      </c>
      <c r="E322" s="7" t="s">
        <v>44</v>
      </c>
      <c r="F322" s="7" t="s">
        <v>37</v>
      </c>
      <c r="G322" s="7">
        <v>39</v>
      </c>
      <c r="H322" s="7" t="s">
        <v>38</v>
      </c>
      <c r="I322" s="7" t="s">
        <v>39</v>
      </c>
      <c r="J322" s="7" t="s">
        <v>30</v>
      </c>
      <c r="K322" s="7" t="s">
        <v>40</v>
      </c>
      <c r="L322" s="7" t="s">
        <v>60</v>
      </c>
      <c r="M322" s="7" t="s">
        <v>33</v>
      </c>
      <c r="N322" s="7">
        <v>1</v>
      </c>
      <c r="O322" s="7">
        <v>36380</v>
      </c>
      <c r="P322" s="7">
        <v>32742</v>
      </c>
      <c r="Q322" s="9">
        <v>12690.82</v>
      </c>
      <c r="R322" s="17">
        <f t="shared" si="4"/>
        <v>0.38760063526968419</v>
      </c>
    </row>
    <row r="323" spans="2:18" x14ac:dyDescent="0.3">
      <c r="B323" s="21" t="s">
        <v>694</v>
      </c>
      <c r="C323" s="11">
        <v>45557</v>
      </c>
      <c r="D323" s="10" t="s">
        <v>695</v>
      </c>
      <c r="E323" s="10" t="s">
        <v>79</v>
      </c>
      <c r="F323" s="10" t="s">
        <v>37</v>
      </c>
      <c r="G323" s="10">
        <v>27</v>
      </c>
      <c r="H323" s="10" t="s">
        <v>56</v>
      </c>
      <c r="I323" s="10" t="s">
        <v>21</v>
      </c>
      <c r="J323" s="10" t="s">
        <v>22</v>
      </c>
      <c r="K323" s="10" t="s">
        <v>51</v>
      </c>
      <c r="L323" s="10" t="s">
        <v>47</v>
      </c>
      <c r="M323" s="10" t="s">
        <v>41</v>
      </c>
      <c r="N323" s="10">
        <v>4</v>
      </c>
      <c r="O323" s="10">
        <v>12875</v>
      </c>
      <c r="P323" s="10">
        <v>48925</v>
      </c>
      <c r="Q323" s="12">
        <v>11661.94</v>
      </c>
      <c r="R323" s="17">
        <f t="shared" si="4"/>
        <v>0.23836361778231988</v>
      </c>
    </row>
    <row r="324" spans="2:18" x14ac:dyDescent="0.3">
      <c r="B324" s="20" t="s">
        <v>696</v>
      </c>
      <c r="C324" s="8">
        <v>45339</v>
      </c>
      <c r="D324" s="7" t="s">
        <v>697</v>
      </c>
      <c r="E324" s="7" t="s">
        <v>59</v>
      </c>
      <c r="F324" s="7" t="s">
        <v>19</v>
      </c>
      <c r="G324" s="7">
        <v>39</v>
      </c>
      <c r="H324" s="7" t="s">
        <v>20</v>
      </c>
      <c r="I324" s="7" t="s">
        <v>21</v>
      </c>
      <c r="J324" s="7" t="s">
        <v>30</v>
      </c>
      <c r="K324" s="7" t="s">
        <v>31</v>
      </c>
      <c r="L324" s="7" t="s">
        <v>80</v>
      </c>
      <c r="M324" s="7" t="s">
        <v>33</v>
      </c>
      <c r="N324" s="7">
        <v>3</v>
      </c>
      <c r="O324" s="7">
        <v>8545</v>
      </c>
      <c r="P324" s="7">
        <v>23071.5</v>
      </c>
      <c r="Q324" s="9">
        <v>6588.66</v>
      </c>
      <c r="R324" s="17">
        <f t="shared" ref="R324:R387" si="5">Q324/P324</f>
        <v>0.28557571029191858</v>
      </c>
    </row>
    <row r="325" spans="2:18" x14ac:dyDescent="0.3">
      <c r="B325" s="21" t="s">
        <v>698</v>
      </c>
      <c r="C325" s="11">
        <v>45469</v>
      </c>
      <c r="D325" s="10" t="s">
        <v>699</v>
      </c>
      <c r="E325" s="10" t="s">
        <v>36</v>
      </c>
      <c r="F325" s="10" t="s">
        <v>37</v>
      </c>
      <c r="G325" s="10">
        <v>21</v>
      </c>
      <c r="H325" s="10" t="s">
        <v>20</v>
      </c>
      <c r="I325" s="10" t="s">
        <v>21</v>
      </c>
      <c r="J325" s="10" t="s">
        <v>30</v>
      </c>
      <c r="K325" s="10" t="s">
        <v>51</v>
      </c>
      <c r="L325" s="10" t="s">
        <v>32</v>
      </c>
      <c r="M325" s="10" t="s">
        <v>25</v>
      </c>
      <c r="N325" s="10">
        <v>1</v>
      </c>
      <c r="O325" s="10">
        <v>17358</v>
      </c>
      <c r="P325" s="10">
        <v>14754.3</v>
      </c>
      <c r="Q325" s="12">
        <v>5465.71</v>
      </c>
      <c r="R325" s="17">
        <f t="shared" si="5"/>
        <v>0.37044861498003973</v>
      </c>
    </row>
    <row r="326" spans="2:18" x14ac:dyDescent="0.3">
      <c r="B326" s="20" t="s">
        <v>700</v>
      </c>
      <c r="C326" s="8">
        <v>45331</v>
      </c>
      <c r="D326" s="7" t="s">
        <v>701</v>
      </c>
      <c r="E326" s="7" t="s">
        <v>79</v>
      </c>
      <c r="F326" s="7" t="s">
        <v>37</v>
      </c>
      <c r="G326" s="7">
        <v>54</v>
      </c>
      <c r="H326" s="7" t="s">
        <v>66</v>
      </c>
      <c r="I326" s="7" t="s">
        <v>39</v>
      </c>
      <c r="J326" s="7" t="s">
        <v>30</v>
      </c>
      <c r="K326" s="7" t="s">
        <v>40</v>
      </c>
      <c r="L326" s="7" t="s">
        <v>60</v>
      </c>
      <c r="M326" s="7" t="s">
        <v>52</v>
      </c>
      <c r="N326" s="7">
        <v>5</v>
      </c>
      <c r="O326" s="7">
        <v>32576</v>
      </c>
      <c r="P326" s="7">
        <v>130304</v>
      </c>
      <c r="Q326" s="9">
        <v>27091.35</v>
      </c>
      <c r="R326" s="17">
        <f t="shared" si="5"/>
        <v>0.20790881323673868</v>
      </c>
    </row>
    <row r="327" spans="2:18" x14ac:dyDescent="0.3">
      <c r="B327" s="21" t="s">
        <v>702</v>
      </c>
      <c r="C327" s="11">
        <v>45610</v>
      </c>
      <c r="D327" s="10" t="s">
        <v>703</v>
      </c>
      <c r="E327" s="10" t="s">
        <v>59</v>
      </c>
      <c r="F327" s="10" t="s">
        <v>19</v>
      </c>
      <c r="G327" s="10">
        <v>36</v>
      </c>
      <c r="H327" s="10" t="s">
        <v>66</v>
      </c>
      <c r="I327" s="10" t="s">
        <v>39</v>
      </c>
      <c r="J327" s="10" t="s">
        <v>22</v>
      </c>
      <c r="K327" s="10" t="s">
        <v>40</v>
      </c>
      <c r="L327" s="10" t="s">
        <v>80</v>
      </c>
      <c r="M327" s="10" t="s">
        <v>33</v>
      </c>
      <c r="N327" s="10">
        <v>1</v>
      </c>
      <c r="O327" s="10">
        <v>14133</v>
      </c>
      <c r="P327" s="10">
        <v>11306.4</v>
      </c>
      <c r="Q327" s="12">
        <v>2431.4499999999998</v>
      </c>
      <c r="R327" s="17">
        <f t="shared" si="5"/>
        <v>0.21505076770678552</v>
      </c>
    </row>
    <row r="328" spans="2:18" x14ac:dyDescent="0.3">
      <c r="B328" s="20" t="s">
        <v>704</v>
      </c>
      <c r="C328" s="8">
        <v>45388</v>
      </c>
      <c r="D328" s="7" t="s">
        <v>705</v>
      </c>
      <c r="E328" s="7" t="s">
        <v>93</v>
      </c>
      <c r="F328" s="7" t="s">
        <v>37</v>
      </c>
      <c r="G328" s="7">
        <v>45</v>
      </c>
      <c r="H328" s="7" t="s">
        <v>20</v>
      </c>
      <c r="I328" s="7" t="s">
        <v>21</v>
      </c>
      <c r="J328" s="7" t="s">
        <v>30</v>
      </c>
      <c r="K328" s="7" t="s">
        <v>23</v>
      </c>
      <c r="L328" s="7" t="s">
        <v>32</v>
      </c>
      <c r="M328" s="7" t="s">
        <v>41</v>
      </c>
      <c r="N328" s="7">
        <v>3</v>
      </c>
      <c r="O328" s="7">
        <v>23246</v>
      </c>
      <c r="P328" s="7">
        <v>69738</v>
      </c>
      <c r="Q328" s="9">
        <v>21565.25</v>
      </c>
      <c r="R328" s="17">
        <f t="shared" si="5"/>
        <v>0.30923241274484498</v>
      </c>
    </row>
    <row r="329" spans="2:18" x14ac:dyDescent="0.3">
      <c r="B329" s="21" t="s">
        <v>706</v>
      </c>
      <c r="C329" s="11">
        <v>45353</v>
      </c>
      <c r="D329" s="10" t="s">
        <v>707</v>
      </c>
      <c r="E329" s="10" t="s">
        <v>93</v>
      </c>
      <c r="F329" s="10" t="s">
        <v>19</v>
      </c>
      <c r="G329" s="10">
        <v>44</v>
      </c>
      <c r="H329" s="10" t="s">
        <v>29</v>
      </c>
      <c r="I329" s="10" t="s">
        <v>21</v>
      </c>
      <c r="J329" s="10" t="s">
        <v>50</v>
      </c>
      <c r="K329" s="10" t="s">
        <v>40</v>
      </c>
      <c r="L329" s="10" t="s">
        <v>80</v>
      </c>
      <c r="M329" s="10" t="s">
        <v>52</v>
      </c>
      <c r="N329" s="10">
        <v>4</v>
      </c>
      <c r="O329" s="10">
        <v>48562</v>
      </c>
      <c r="P329" s="10">
        <v>155398.39999999999</v>
      </c>
      <c r="Q329" s="12">
        <v>45631.03</v>
      </c>
      <c r="R329" s="17">
        <f t="shared" si="5"/>
        <v>0.29363899499608748</v>
      </c>
    </row>
    <row r="330" spans="2:18" x14ac:dyDescent="0.3">
      <c r="B330" s="20" t="s">
        <v>708</v>
      </c>
      <c r="C330" s="8">
        <v>45424</v>
      </c>
      <c r="D330" s="7" t="s">
        <v>709</v>
      </c>
      <c r="E330" s="7" t="s">
        <v>28</v>
      </c>
      <c r="F330" s="7" t="s">
        <v>37</v>
      </c>
      <c r="G330" s="7">
        <v>49</v>
      </c>
      <c r="H330" s="7" t="s">
        <v>45</v>
      </c>
      <c r="I330" s="7" t="s">
        <v>21</v>
      </c>
      <c r="J330" s="7" t="s">
        <v>50</v>
      </c>
      <c r="K330" s="7" t="s">
        <v>69</v>
      </c>
      <c r="L330" s="7" t="s">
        <v>24</v>
      </c>
      <c r="M330" s="7" t="s">
        <v>41</v>
      </c>
      <c r="N330" s="7">
        <v>5</v>
      </c>
      <c r="O330" s="7">
        <v>13970</v>
      </c>
      <c r="P330" s="7">
        <v>55880</v>
      </c>
      <c r="Q330" s="9">
        <v>22214.19</v>
      </c>
      <c r="R330" s="17">
        <f t="shared" si="5"/>
        <v>0.39753382247673585</v>
      </c>
    </row>
    <row r="331" spans="2:18" x14ac:dyDescent="0.3">
      <c r="B331" s="21" t="s">
        <v>710</v>
      </c>
      <c r="C331" s="11">
        <v>45384</v>
      </c>
      <c r="D331" s="10" t="s">
        <v>711</v>
      </c>
      <c r="E331" s="10" t="s">
        <v>65</v>
      </c>
      <c r="F331" s="10" t="s">
        <v>19</v>
      </c>
      <c r="G331" s="10">
        <v>32</v>
      </c>
      <c r="H331" s="10" t="s">
        <v>20</v>
      </c>
      <c r="I331" s="10" t="s">
        <v>21</v>
      </c>
      <c r="J331" s="10" t="s">
        <v>50</v>
      </c>
      <c r="K331" s="10" t="s">
        <v>69</v>
      </c>
      <c r="L331" s="10" t="s">
        <v>60</v>
      </c>
      <c r="M331" s="10" t="s">
        <v>25</v>
      </c>
      <c r="N331" s="10">
        <v>4</v>
      </c>
      <c r="O331" s="10">
        <v>28357</v>
      </c>
      <c r="P331" s="10">
        <v>96413.8</v>
      </c>
      <c r="Q331" s="12">
        <v>28801.9</v>
      </c>
      <c r="R331" s="17">
        <f t="shared" si="5"/>
        <v>0.29873213170728674</v>
      </c>
    </row>
    <row r="332" spans="2:18" x14ac:dyDescent="0.3">
      <c r="B332" s="20" t="s">
        <v>712</v>
      </c>
      <c r="C332" s="8">
        <v>45426</v>
      </c>
      <c r="D332" s="7" t="s">
        <v>713</v>
      </c>
      <c r="E332" s="7" t="s">
        <v>76</v>
      </c>
      <c r="F332" s="7" t="s">
        <v>19</v>
      </c>
      <c r="G332" s="7">
        <v>49</v>
      </c>
      <c r="H332" s="7" t="s">
        <v>56</v>
      </c>
      <c r="I332" s="7" t="s">
        <v>21</v>
      </c>
      <c r="J332" s="7" t="s">
        <v>50</v>
      </c>
      <c r="K332" s="7" t="s">
        <v>69</v>
      </c>
      <c r="L332" s="7" t="s">
        <v>24</v>
      </c>
      <c r="M332" s="7" t="s">
        <v>25</v>
      </c>
      <c r="N332" s="7">
        <v>1</v>
      </c>
      <c r="O332" s="7">
        <v>35226</v>
      </c>
      <c r="P332" s="7">
        <v>28180.799999999999</v>
      </c>
      <c r="Q332" s="9">
        <v>5350.1</v>
      </c>
      <c r="R332" s="17">
        <f t="shared" si="5"/>
        <v>0.18984911712939309</v>
      </c>
    </row>
    <row r="333" spans="2:18" x14ac:dyDescent="0.3">
      <c r="B333" s="21" t="s">
        <v>714</v>
      </c>
      <c r="C333" s="11">
        <v>45547</v>
      </c>
      <c r="D333" s="10" t="s">
        <v>715</v>
      </c>
      <c r="E333" s="10" t="s">
        <v>28</v>
      </c>
      <c r="F333" s="10" t="s">
        <v>37</v>
      </c>
      <c r="G333" s="10">
        <v>52</v>
      </c>
      <c r="H333" s="10" t="s">
        <v>45</v>
      </c>
      <c r="I333" s="10" t="s">
        <v>21</v>
      </c>
      <c r="J333" s="10" t="s">
        <v>50</v>
      </c>
      <c r="K333" s="10" t="s">
        <v>31</v>
      </c>
      <c r="L333" s="10" t="s">
        <v>80</v>
      </c>
      <c r="M333" s="10" t="s">
        <v>52</v>
      </c>
      <c r="N333" s="10">
        <v>3</v>
      </c>
      <c r="O333" s="10">
        <v>39481</v>
      </c>
      <c r="P333" s="10">
        <v>94754.4</v>
      </c>
      <c r="Q333" s="12">
        <v>29553.98</v>
      </c>
      <c r="R333" s="17">
        <f t="shared" si="5"/>
        <v>0.31190087214947276</v>
      </c>
    </row>
    <row r="334" spans="2:18" x14ac:dyDescent="0.3">
      <c r="B334" s="20" t="s">
        <v>716</v>
      </c>
      <c r="C334" s="8">
        <v>45366</v>
      </c>
      <c r="D334" s="7" t="s">
        <v>717</v>
      </c>
      <c r="E334" s="7" t="s">
        <v>18</v>
      </c>
      <c r="F334" s="7" t="s">
        <v>37</v>
      </c>
      <c r="G334" s="7">
        <v>42</v>
      </c>
      <c r="H334" s="7" t="s">
        <v>29</v>
      </c>
      <c r="I334" s="7" t="s">
        <v>46</v>
      </c>
      <c r="J334" s="7" t="s">
        <v>30</v>
      </c>
      <c r="K334" s="7" t="s">
        <v>40</v>
      </c>
      <c r="L334" s="7" t="s">
        <v>60</v>
      </c>
      <c r="M334" s="7" t="s">
        <v>41</v>
      </c>
      <c r="N334" s="7">
        <v>3</v>
      </c>
      <c r="O334" s="7">
        <v>26590</v>
      </c>
      <c r="P334" s="7">
        <v>75781.5</v>
      </c>
      <c r="Q334" s="9">
        <v>12895.44</v>
      </c>
      <c r="R334" s="17">
        <f t="shared" si="5"/>
        <v>0.17016606955523447</v>
      </c>
    </row>
    <row r="335" spans="2:18" x14ac:dyDescent="0.3">
      <c r="B335" s="21" t="s">
        <v>718</v>
      </c>
      <c r="C335" s="11">
        <v>45656</v>
      </c>
      <c r="D335" s="10" t="s">
        <v>719</v>
      </c>
      <c r="E335" s="10" t="s">
        <v>65</v>
      </c>
      <c r="F335" s="10" t="s">
        <v>19</v>
      </c>
      <c r="G335" s="10">
        <v>42</v>
      </c>
      <c r="H335" s="10" t="s">
        <v>38</v>
      </c>
      <c r="I335" s="10" t="s">
        <v>21</v>
      </c>
      <c r="J335" s="10" t="s">
        <v>50</v>
      </c>
      <c r="K335" s="10" t="s">
        <v>69</v>
      </c>
      <c r="L335" s="10" t="s">
        <v>60</v>
      </c>
      <c r="M335" s="10" t="s">
        <v>41</v>
      </c>
      <c r="N335" s="10">
        <v>5</v>
      </c>
      <c r="O335" s="10">
        <v>2923</v>
      </c>
      <c r="P335" s="10">
        <v>13884.25</v>
      </c>
      <c r="Q335" s="12">
        <v>3949.47</v>
      </c>
      <c r="R335" s="17">
        <f t="shared" si="5"/>
        <v>0.2844568485874282</v>
      </c>
    </row>
    <row r="336" spans="2:18" x14ac:dyDescent="0.3">
      <c r="B336" s="20" t="s">
        <v>720</v>
      </c>
      <c r="C336" s="8">
        <v>45472</v>
      </c>
      <c r="D336" s="7" t="s">
        <v>721</v>
      </c>
      <c r="E336" s="7" t="s">
        <v>59</v>
      </c>
      <c r="F336" s="7" t="s">
        <v>19</v>
      </c>
      <c r="G336" s="7">
        <v>55</v>
      </c>
      <c r="H336" s="7" t="s">
        <v>66</v>
      </c>
      <c r="I336" s="7" t="s">
        <v>39</v>
      </c>
      <c r="J336" s="7" t="s">
        <v>50</v>
      </c>
      <c r="K336" s="7" t="s">
        <v>69</v>
      </c>
      <c r="L336" s="7" t="s">
        <v>80</v>
      </c>
      <c r="M336" s="7" t="s">
        <v>52</v>
      </c>
      <c r="N336" s="7">
        <v>1</v>
      </c>
      <c r="O336" s="7">
        <v>34767</v>
      </c>
      <c r="P336" s="7">
        <v>34767</v>
      </c>
      <c r="Q336" s="9">
        <v>7530.99</v>
      </c>
      <c r="R336" s="17">
        <f t="shared" si="5"/>
        <v>0.21661316765898697</v>
      </c>
    </row>
    <row r="337" spans="2:18" x14ac:dyDescent="0.3">
      <c r="B337" s="21" t="s">
        <v>722</v>
      </c>
      <c r="C337" s="11">
        <v>45381</v>
      </c>
      <c r="D337" s="10" t="s">
        <v>723</v>
      </c>
      <c r="E337" s="10" t="s">
        <v>76</v>
      </c>
      <c r="F337" s="10" t="s">
        <v>19</v>
      </c>
      <c r="G337" s="10">
        <v>56</v>
      </c>
      <c r="H337" s="10" t="s">
        <v>66</v>
      </c>
      <c r="I337" s="10" t="s">
        <v>21</v>
      </c>
      <c r="J337" s="10" t="s">
        <v>22</v>
      </c>
      <c r="K337" s="10" t="s">
        <v>51</v>
      </c>
      <c r="L337" s="10" t="s">
        <v>32</v>
      </c>
      <c r="M337" s="10" t="s">
        <v>52</v>
      </c>
      <c r="N337" s="10">
        <v>3</v>
      </c>
      <c r="O337" s="10">
        <v>33471</v>
      </c>
      <c r="P337" s="10">
        <v>85351.05</v>
      </c>
      <c r="Q337" s="12">
        <v>29636.01</v>
      </c>
      <c r="R337" s="17">
        <f t="shared" si="5"/>
        <v>0.34722490232984826</v>
      </c>
    </row>
    <row r="338" spans="2:18" x14ac:dyDescent="0.3">
      <c r="B338" s="20" t="s">
        <v>724</v>
      </c>
      <c r="C338" s="8">
        <v>45334</v>
      </c>
      <c r="D338" s="7" t="s">
        <v>725</v>
      </c>
      <c r="E338" s="7" t="s">
        <v>79</v>
      </c>
      <c r="F338" s="7" t="s">
        <v>19</v>
      </c>
      <c r="G338" s="7">
        <v>29</v>
      </c>
      <c r="H338" s="7" t="s">
        <v>20</v>
      </c>
      <c r="I338" s="7" t="s">
        <v>21</v>
      </c>
      <c r="J338" s="7" t="s">
        <v>22</v>
      </c>
      <c r="K338" s="7" t="s">
        <v>40</v>
      </c>
      <c r="L338" s="7" t="s">
        <v>60</v>
      </c>
      <c r="M338" s="7" t="s">
        <v>33</v>
      </c>
      <c r="N338" s="7">
        <v>4</v>
      </c>
      <c r="O338" s="7">
        <v>18983</v>
      </c>
      <c r="P338" s="7">
        <v>60745.599999999999</v>
      </c>
      <c r="Q338" s="9">
        <v>14039.59</v>
      </c>
      <c r="R338" s="17">
        <f t="shared" si="5"/>
        <v>0.23112110177527262</v>
      </c>
    </row>
    <row r="339" spans="2:18" x14ac:dyDescent="0.3">
      <c r="B339" s="21" t="s">
        <v>726</v>
      </c>
      <c r="C339" s="11">
        <v>45540</v>
      </c>
      <c r="D339" s="10" t="s">
        <v>727</v>
      </c>
      <c r="E339" s="10" t="s">
        <v>76</v>
      </c>
      <c r="F339" s="10" t="s">
        <v>19</v>
      </c>
      <c r="G339" s="10">
        <v>34</v>
      </c>
      <c r="H339" s="10" t="s">
        <v>45</v>
      </c>
      <c r="I339" s="10" t="s">
        <v>21</v>
      </c>
      <c r="J339" s="10" t="s">
        <v>50</v>
      </c>
      <c r="K339" s="10" t="s">
        <v>31</v>
      </c>
      <c r="L339" s="10" t="s">
        <v>32</v>
      </c>
      <c r="M339" s="10" t="s">
        <v>25</v>
      </c>
      <c r="N339" s="10">
        <v>2</v>
      </c>
      <c r="O339" s="10">
        <v>31200</v>
      </c>
      <c r="P339" s="10">
        <v>53040</v>
      </c>
      <c r="Q339" s="12">
        <v>10301.879999999999</v>
      </c>
      <c r="R339" s="17">
        <f t="shared" si="5"/>
        <v>0.19422850678733031</v>
      </c>
    </row>
    <row r="340" spans="2:18" x14ac:dyDescent="0.3">
      <c r="B340" s="20" t="s">
        <v>728</v>
      </c>
      <c r="C340" s="8">
        <v>45445</v>
      </c>
      <c r="D340" s="7" t="s">
        <v>729</v>
      </c>
      <c r="E340" s="7" t="s">
        <v>76</v>
      </c>
      <c r="F340" s="7" t="s">
        <v>37</v>
      </c>
      <c r="G340" s="7">
        <v>54</v>
      </c>
      <c r="H340" s="7" t="s">
        <v>38</v>
      </c>
      <c r="I340" s="7" t="s">
        <v>21</v>
      </c>
      <c r="J340" s="7" t="s">
        <v>30</v>
      </c>
      <c r="K340" s="7" t="s">
        <v>51</v>
      </c>
      <c r="L340" s="7" t="s">
        <v>60</v>
      </c>
      <c r="M340" s="7" t="s">
        <v>52</v>
      </c>
      <c r="N340" s="7">
        <v>3</v>
      </c>
      <c r="O340" s="7">
        <v>37390</v>
      </c>
      <c r="P340" s="7">
        <v>112170</v>
      </c>
      <c r="Q340" s="9">
        <v>25833.19</v>
      </c>
      <c r="R340" s="17">
        <f t="shared" si="5"/>
        <v>0.23030391370241596</v>
      </c>
    </row>
    <row r="341" spans="2:18" x14ac:dyDescent="0.3">
      <c r="B341" s="21" t="s">
        <v>730</v>
      </c>
      <c r="C341" s="11">
        <v>45430</v>
      </c>
      <c r="D341" s="10" t="s">
        <v>731</v>
      </c>
      <c r="E341" s="10" t="s">
        <v>93</v>
      </c>
      <c r="F341" s="10" t="s">
        <v>19</v>
      </c>
      <c r="G341" s="10">
        <v>59</v>
      </c>
      <c r="H341" s="10" t="s">
        <v>29</v>
      </c>
      <c r="I341" s="10" t="s">
        <v>21</v>
      </c>
      <c r="J341" s="10" t="s">
        <v>50</v>
      </c>
      <c r="K341" s="10" t="s">
        <v>23</v>
      </c>
      <c r="L341" s="10" t="s">
        <v>47</v>
      </c>
      <c r="M341" s="10" t="s">
        <v>41</v>
      </c>
      <c r="N341" s="10">
        <v>1</v>
      </c>
      <c r="O341" s="10">
        <v>5212</v>
      </c>
      <c r="P341" s="10">
        <v>5212</v>
      </c>
      <c r="Q341" s="12">
        <v>1481.6</v>
      </c>
      <c r="R341" s="17">
        <f t="shared" si="5"/>
        <v>0.28426707597851109</v>
      </c>
    </row>
    <row r="342" spans="2:18" x14ac:dyDescent="0.3">
      <c r="B342" s="20" t="s">
        <v>732</v>
      </c>
      <c r="C342" s="8">
        <v>45412</v>
      </c>
      <c r="D342" s="7" t="s">
        <v>733</v>
      </c>
      <c r="E342" s="7" t="s">
        <v>93</v>
      </c>
      <c r="F342" s="7" t="s">
        <v>37</v>
      </c>
      <c r="G342" s="7">
        <v>47</v>
      </c>
      <c r="H342" s="7" t="s">
        <v>45</v>
      </c>
      <c r="I342" s="7" t="s">
        <v>39</v>
      </c>
      <c r="J342" s="7" t="s">
        <v>22</v>
      </c>
      <c r="K342" s="7" t="s">
        <v>40</v>
      </c>
      <c r="L342" s="7" t="s">
        <v>60</v>
      </c>
      <c r="M342" s="7" t="s">
        <v>33</v>
      </c>
      <c r="N342" s="7">
        <v>4</v>
      </c>
      <c r="O342" s="7">
        <v>28930</v>
      </c>
      <c r="P342" s="7">
        <v>92576</v>
      </c>
      <c r="Q342" s="9">
        <v>19027.599999999999</v>
      </c>
      <c r="R342" s="17">
        <f t="shared" si="5"/>
        <v>0.20553491185620462</v>
      </c>
    </row>
    <row r="343" spans="2:18" x14ac:dyDescent="0.3">
      <c r="B343" s="21" t="s">
        <v>734</v>
      </c>
      <c r="C343" s="11">
        <v>45616</v>
      </c>
      <c r="D343" s="10" t="s">
        <v>735</v>
      </c>
      <c r="E343" s="10" t="s">
        <v>76</v>
      </c>
      <c r="F343" s="10" t="s">
        <v>19</v>
      </c>
      <c r="G343" s="10">
        <v>60</v>
      </c>
      <c r="H343" s="10" t="s">
        <v>66</v>
      </c>
      <c r="I343" s="10" t="s">
        <v>21</v>
      </c>
      <c r="J343" s="10" t="s">
        <v>22</v>
      </c>
      <c r="K343" s="10" t="s">
        <v>69</v>
      </c>
      <c r="L343" s="10" t="s">
        <v>24</v>
      </c>
      <c r="M343" s="10" t="s">
        <v>25</v>
      </c>
      <c r="N343" s="10">
        <v>4</v>
      </c>
      <c r="O343" s="10">
        <v>27858</v>
      </c>
      <c r="P343" s="10">
        <v>105860.4</v>
      </c>
      <c r="Q343" s="12">
        <v>31971.759999999998</v>
      </c>
      <c r="R343" s="17">
        <f t="shared" si="5"/>
        <v>0.30201812953663504</v>
      </c>
    </row>
    <row r="344" spans="2:18" x14ac:dyDescent="0.3">
      <c r="B344" s="20" t="s">
        <v>736</v>
      </c>
      <c r="C344" s="8">
        <v>45495</v>
      </c>
      <c r="D344" s="7" t="s">
        <v>737</v>
      </c>
      <c r="E344" s="7" t="s">
        <v>36</v>
      </c>
      <c r="F344" s="7" t="s">
        <v>37</v>
      </c>
      <c r="G344" s="7">
        <v>53</v>
      </c>
      <c r="H344" s="7" t="s">
        <v>29</v>
      </c>
      <c r="I344" s="7" t="s">
        <v>39</v>
      </c>
      <c r="J344" s="7" t="s">
        <v>50</v>
      </c>
      <c r="K344" s="7" t="s">
        <v>23</v>
      </c>
      <c r="L344" s="7" t="s">
        <v>47</v>
      </c>
      <c r="M344" s="7" t="s">
        <v>52</v>
      </c>
      <c r="N344" s="7">
        <v>4</v>
      </c>
      <c r="O344" s="7">
        <v>3427</v>
      </c>
      <c r="P344" s="7">
        <v>11651.8</v>
      </c>
      <c r="Q344" s="9">
        <v>3224.14</v>
      </c>
      <c r="R344" s="17">
        <f t="shared" si="5"/>
        <v>0.27670746150809317</v>
      </c>
    </row>
    <row r="345" spans="2:18" x14ac:dyDescent="0.3">
      <c r="B345" s="21" t="s">
        <v>738</v>
      </c>
      <c r="C345" s="11">
        <v>45565</v>
      </c>
      <c r="D345" s="10" t="s">
        <v>739</v>
      </c>
      <c r="E345" s="10" t="s">
        <v>93</v>
      </c>
      <c r="F345" s="10" t="s">
        <v>37</v>
      </c>
      <c r="G345" s="10">
        <v>33</v>
      </c>
      <c r="H345" s="10" t="s">
        <v>20</v>
      </c>
      <c r="I345" s="10" t="s">
        <v>39</v>
      </c>
      <c r="J345" s="10" t="s">
        <v>30</v>
      </c>
      <c r="K345" s="10" t="s">
        <v>23</v>
      </c>
      <c r="L345" s="10" t="s">
        <v>80</v>
      </c>
      <c r="M345" s="10" t="s">
        <v>41</v>
      </c>
      <c r="N345" s="10">
        <v>3</v>
      </c>
      <c r="O345" s="10">
        <v>18106</v>
      </c>
      <c r="P345" s="10">
        <v>54318</v>
      </c>
      <c r="Q345" s="12">
        <v>21155.02</v>
      </c>
      <c r="R345" s="17">
        <f t="shared" si="5"/>
        <v>0.38946610699952133</v>
      </c>
    </row>
    <row r="346" spans="2:18" x14ac:dyDescent="0.3">
      <c r="B346" s="20" t="s">
        <v>740</v>
      </c>
      <c r="C346" s="8">
        <v>45579</v>
      </c>
      <c r="D346" s="7" t="s">
        <v>741</v>
      </c>
      <c r="E346" s="7" t="s">
        <v>79</v>
      </c>
      <c r="F346" s="7" t="s">
        <v>37</v>
      </c>
      <c r="G346" s="7">
        <v>40</v>
      </c>
      <c r="H346" s="7" t="s">
        <v>38</v>
      </c>
      <c r="I346" s="7" t="s">
        <v>21</v>
      </c>
      <c r="J346" s="7" t="s">
        <v>22</v>
      </c>
      <c r="K346" s="7" t="s">
        <v>51</v>
      </c>
      <c r="L346" s="7" t="s">
        <v>60</v>
      </c>
      <c r="M346" s="7" t="s">
        <v>41</v>
      </c>
      <c r="N346" s="7">
        <v>1</v>
      </c>
      <c r="O346" s="7">
        <v>5995</v>
      </c>
      <c r="P346" s="7">
        <v>5995</v>
      </c>
      <c r="Q346" s="9">
        <v>1571.32</v>
      </c>
      <c r="R346" s="17">
        <f t="shared" si="5"/>
        <v>0.26210508757297746</v>
      </c>
    </row>
    <row r="347" spans="2:18" x14ac:dyDescent="0.3">
      <c r="B347" s="21" t="s">
        <v>742</v>
      </c>
      <c r="C347" s="11">
        <v>45545</v>
      </c>
      <c r="D347" s="10" t="s">
        <v>743</v>
      </c>
      <c r="E347" s="10" t="s">
        <v>36</v>
      </c>
      <c r="F347" s="10" t="s">
        <v>37</v>
      </c>
      <c r="G347" s="10">
        <v>38</v>
      </c>
      <c r="H347" s="10" t="s">
        <v>20</v>
      </c>
      <c r="I347" s="10" t="s">
        <v>46</v>
      </c>
      <c r="J347" s="10" t="s">
        <v>50</v>
      </c>
      <c r="K347" s="10" t="s">
        <v>69</v>
      </c>
      <c r="L347" s="10" t="s">
        <v>60</v>
      </c>
      <c r="M347" s="10" t="s">
        <v>52</v>
      </c>
      <c r="N347" s="10">
        <v>4</v>
      </c>
      <c r="O347" s="10">
        <v>41853</v>
      </c>
      <c r="P347" s="10">
        <v>142300.20000000001</v>
      </c>
      <c r="Q347" s="12">
        <v>45182.03</v>
      </c>
      <c r="R347" s="17">
        <f t="shared" si="5"/>
        <v>0.31751206252696762</v>
      </c>
    </row>
    <row r="348" spans="2:18" x14ac:dyDescent="0.3">
      <c r="B348" s="20" t="s">
        <v>744</v>
      </c>
      <c r="C348" s="8">
        <v>45610</v>
      </c>
      <c r="D348" s="7" t="s">
        <v>745</v>
      </c>
      <c r="E348" s="7" t="s">
        <v>93</v>
      </c>
      <c r="F348" s="7" t="s">
        <v>19</v>
      </c>
      <c r="G348" s="7">
        <v>56</v>
      </c>
      <c r="H348" s="7" t="s">
        <v>20</v>
      </c>
      <c r="I348" s="7" t="s">
        <v>21</v>
      </c>
      <c r="J348" s="7" t="s">
        <v>50</v>
      </c>
      <c r="K348" s="7" t="s">
        <v>23</v>
      </c>
      <c r="L348" s="7" t="s">
        <v>47</v>
      </c>
      <c r="M348" s="7" t="s">
        <v>52</v>
      </c>
      <c r="N348" s="7">
        <v>3</v>
      </c>
      <c r="O348" s="7">
        <v>45944</v>
      </c>
      <c r="P348" s="7">
        <v>110265.60000000001</v>
      </c>
      <c r="Q348" s="9">
        <v>22440.16</v>
      </c>
      <c r="R348" s="17">
        <f t="shared" si="5"/>
        <v>0.20351007023042544</v>
      </c>
    </row>
    <row r="349" spans="2:18" x14ac:dyDescent="0.3">
      <c r="B349" s="21" t="s">
        <v>746</v>
      </c>
      <c r="C349" s="11">
        <v>45388</v>
      </c>
      <c r="D349" s="10" t="s">
        <v>747</v>
      </c>
      <c r="E349" s="10" t="s">
        <v>28</v>
      </c>
      <c r="F349" s="10" t="s">
        <v>19</v>
      </c>
      <c r="G349" s="10">
        <v>32</v>
      </c>
      <c r="H349" s="10" t="s">
        <v>56</v>
      </c>
      <c r="I349" s="10" t="s">
        <v>46</v>
      </c>
      <c r="J349" s="10" t="s">
        <v>50</v>
      </c>
      <c r="K349" s="10" t="s">
        <v>31</v>
      </c>
      <c r="L349" s="10" t="s">
        <v>32</v>
      </c>
      <c r="M349" s="10" t="s">
        <v>52</v>
      </c>
      <c r="N349" s="10">
        <v>4</v>
      </c>
      <c r="O349" s="10">
        <v>40497</v>
      </c>
      <c r="P349" s="10">
        <v>137689.79999999999</v>
      </c>
      <c r="Q349" s="12">
        <v>24442.39</v>
      </c>
      <c r="R349" s="17">
        <f t="shared" si="5"/>
        <v>0.17751779725150302</v>
      </c>
    </row>
    <row r="350" spans="2:18" x14ac:dyDescent="0.3">
      <c r="B350" s="20" t="s">
        <v>748</v>
      </c>
      <c r="C350" s="8">
        <v>45429</v>
      </c>
      <c r="D350" s="7" t="s">
        <v>749</v>
      </c>
      <c r="E350" s="7" t="s">
        <v>59</v>
      </c>
      <c r="F350" s="7" t="s">
        <v>37</v>
      </c>
      <c r="G350" s="7">
        <v>60</v>
      </c>
      <c r="H350" s="7" t="s">
        <v>20</v>
      </c>
      <c r="I350" s="7" t="s">
        <v>21</v>
      </c>
      <c r="J350" s="7" t="s">
        <v>50</v>
      </c>
      <c r="K350" s="7" t="s">
        <v>23</v>
      </c>
      <c r="L350" s="7" t="s">
        <v>24</v>
      </c>
      <c r="M350" s="7" t="s">
        <v>33</v>
      </c>
      <c r="N350" s="7">
        <v>3</v>
      </c>
      <c r="O350" s="7">
        <v>48773</v>
      </c>
      <c r="P350" s="7">
        <v>117055.2</v>
      </c>
      <c r="Q350" s="9">
        <v>38292.17</v>
      </c>
      <c r="R350" s="17">
        <f t="shared" si="5"/>
        <v>0.32712916641037731</v>
      </c>
    </row>
    <row r="351" spans="2:18" x14ac:dyDescent="0.3">
      <c r="B351" s="21" t="s">
        <v>750</v>
      </c>
      <c r="C351" s="11">
        <v>45638</v>
      </c>
      <c r="D351" s="10" t="s">
        <v>751</v>
      </c>
      <c r="E351" s="10" t="s">
        <v>28</v>
      </c>
      <c r="F351" s="10" t="s">
        <v>37</v>
      </c>
      <c r="G351" s="10">
        <v>29</v>
      </c>
      <c r="H351" s="10" t="s">
        <v>66</v>
      </c>
      <c r="I351" s="10" t="s">
        <v>21</v>
      </c>
      <c r="J351" s="10" t="s">
        <v>30</v>
      </c>
      <c r="K351" s="10" t="s">
        <v>51</v>
      </c>
      <c r="L351" s="10" t="s">
        <v>80</v>
      </c>
      <c r="M351" s="10" t="s">
        <v>52</v>
      </c>
      <c r="N351" s="10">
        <v>3</v>
      </c>
      <c r="O351" s="10">
        <v>40008</v>
      </c>
      <c r="P351" s="10">
        <v>120024</v>
      </c>
      <c r="Q351" s="12">
        <v>38950.910000000003</v>
      </c>
      <c r="R351" s="17">
        <f t="shared" si="5"/>
        <v>0.32452601146437382</v>
      </c>
    </row>
    <row r="352" spans="2:18" x14ac:dyDescent="0.3">
      <c r="B352" s="20" t="s">
        <v>752</v>
      </c>
      <c r="C352" s="8">
        <v>45312</v>
      </c>
      <c r="D352" s="7" t="s">
        <v>753</v>
      </c>
      <c r="E352" s="7" t="s">
        <v>28</v>
      </c>
      <c r="F352" s="7" t="s">
        <v>19</v>
      </c>
      <c r="G352" s="7">
        <v>40</v>
      </c>
      <c r="H352" s="7" t="s">
        <v>38</v>
      </c>
      <c r="I352" s="7" t="s">
        <v>21</v>
      </c>
      <c r="J352" s="7" t="s">
        <v>30</v>
      </c>
      <c r="K352" s="7" t="s">
        <v>40</v>
      </c>
      <c r="L352" s="7" t="s">
        <v>80</v>
      </c>
      <c r="M352" s="7" t="s">
        <v>25</v>
      </c>
      <c r="N352" s="7">
        <v>1</v>
      </c>
      <c r="O352" s="7">
        <v>21099</v>
      </c>
      <c r="P352" s="7">
        <v>18989.099999999999</v>
      </c>
      <c r="Q352" s="9">
        <v>6399.99</v>
      </c>
      <c r="R352" s="17">
        <f t="shared" si="5"/>
        <v>0.33703493056542966</v>
      </c>
    </row>
    <row r="353" spans="2:18" x14ac:dyDescent="0.3">
      <c r="B353" s="21" t="s">
        <v>754</v>
      </c>
      <c r="C353" s="11">
        <v>45465</v>
      </c>
      <c r="D353" s="10" t="s">
        <v>755</v>
      </c>
      <c r="E353" s="10" t="s">
        <v>59</v>
      </c>
      <c r="F353" s="10" t="s">
        <v>37</v>
      </c>
      <c r="G353" s="10">
        <v>35</v>
      </c>
      <c r="H353" s="10" t="s">
        <v>56</v>
      </c>
      <c r="I353" s="10" t="s">
        <v>39</v>
      </c>
      <c r="J353" s="10" t="s">
        <v>50</v>
      </c>
      <c r="K353" s="10" t="s">
        <v>40</v>
      </c>
      <c r="L353" s="10" t="s">
        <v>47</v>
      </c>
      <c r="M353" s="10" t="s">
        <v>25</v>
      </c>
      <c r="N353" s="10">
        <v>5</v>
      </c>
      <c r="O353" s="10">
        <v>43957</v>
      </c>
      <c r="P353" s="10">
        <v>208795.75</v>
      </c>
      <c r="Q353" s="12">
        <v>51847.5</v>
      </c>
      <c r="R353" s="17">
        <f t="shared" si="5"/>
        <v>0.24831683595092333</v>
      </c>
    </row>
    <row r="354" spans="2:18" x14ac:dyDescent="0.3">
      <c r="B354" s="20" t="s">
        <v>756</v>
      </c>
      <c r="C354" s="8">
        <v>45538</v>
      </c>
      <c r="D354" s="7" t="s">
        <v>757</v>
      </c>
      <c r="E354" s="7" t="s">
        <v>36</v>
      </c>
      <c r="F354" s="7" t="s">
        <v>37</v>
      </c>
      <c r="G354" s="7">
        <v>33</v>
      </c>
      <c r="H354" s="7" t="s">
        <v>45</v>
      </c>
      <c r="I354" s="7" t="s">
        <v>21</v>
      </c>
      <c r="J354" s="7" t="s">
        <v>50</v>
      </c>
      <c r="K354" s="7" t="s">
        <v>31</v>
      </c>
      <c r="L354" s="7" t="s">
        <v>60</v>
      </c>
      <c r="M354" s="7" t="s">
        <v>52</v>
      </c>
      <c r="N354" s="7">
        <v>1</v>
      </c>
      <c r="O354" s="7">
        <v>23174</v>
      </c>
      <c r="P354" s="7">
        <v>23174</v>
      </c>
      <c r="Q354" s="9">
        <v>8934.09</v>
      </c>
      <c r="R354" s="17">
        <f t="shared" si="5"/>
        <v>0.38552213687753517</v>
      </c>
    </row>
    <row r="355" spans="2:18" x14ac:dyDescent="0.3">
      <c r="B355" s="21" t="s">
        <v>758</v>
      </c>
      <c r="C355" s="11">
        <v>45493</v>
      </c>
      <c r="D355" s="10" t="s">
        <v>759</v>
      </c>
      <c r="E355" s="10" t="s">
        <v>76</v>
      </c>
      <c r="F355" s="10" t="s">
        <v>37</v>
      </c>
      <c r="G355" s="10">
        <v>35</v>
      </c>
      <c r="H355" s="10" t="s">
        <v>38</v>
      </c>
      <c r="I355" s="10" t="s">
        <v>46</v>
      </c>
      <c r="J355" s="10" t="s">
        <v>22</v>
      </c>
      <c r="K355" s="10" t="s">
        <v>40</v>
      </c>
      <c r="L355" s="10" t="s">
        <v>47</v>
      </c>
      <c r="M355" s="10" t="s">
        <v>33</v>
      </c>
      <c r="N355" s="10">
        <v>5</v>
      </c>
      <c r="O355" s="10">
        <v>40078</v>
      </c>
      <c r="P355" s="10">
        <v>200390</v>
      </c>
      <c r="Q355" s="12">
        <v>70222.66</v>
      </c>
      <c r="R355" s="17">
        <f t="shared" si="5"/>
        <v>0.35042996157492889</v>
      </c>
    </row>
    <row r="356" spans="2:18" x14ac:dyDescent="0.3">
      <c r="B356" s="20" t="s">
        <v>760</v>
      </c>
      <c r="C356" s="8">
        <v>45617</v>
      </c>
      <c r="D356" s="7" t="s">
        <v>761</v>
      </c>
      <c r="E356" s="7" t="s">
        <v>59</v>
      </c>
      <c r="F356" s="7" t="s">
        <v>37</v>
      </c>
      <c r="G356" s="7">
        <v>59</v>
      </c>
      <c r="H356" s="7" t="s">
        <v>45</v>
      </c>
      <c r="I356" s="7" t="s">
        <v>39</v>
      </c>
      <c r="J356" s="7" t="s">
        <v>50</v>
      </c>
      <c r="K356" s="7" t="s">
        <v>69</v>
      </c>
      <c r="L356" s="7" t="s">
        <v>32</v>
      </c>
      <c r="M356" s="7" t="s">
        <v>52</v>
      </c>
      <c r="N356" s="7">
        <v>2</v>
      </c>
      <c r="O356" s="7">
        <v>5278</v>
      </c>
      <c r="P356" s="7">
        <v>10556</v>
      </c>
      <c r="Q356" s="9">
        <v>2315.62</v>
      </c>
      <c r="R356" s="17">
        <f t="shared" si="5"/>
        <v>0.21936528988253126</v>
      </c>
    </row>
    <row r="357" spans="2:18" x14ac:dyDescent="0.3">
      <c r="B357" s="21" t="s">
        <v>762</v>
      </c>
      <c r="C357" s="11">
        <v>45518</v>
      </c>
      <c r="D357" s="10" t="s">
        <v>763</v>
      </c>
      <c r="E357" s="10" t="s">
        <v>28</v>
      </c>
      <c r="F357" s="10" t="s">
        <v>37</v>
      </c>
      <c r="G357" s="10">
        <v>39</v>
      </c>
      <c r="H357" s="10" t="s">
        <v>38</v>
      </c>
      <c r="I357" s="10" t="s">
        <v>21</v>
      </c>
      <c r="J357" s="10" t="s">
        <v>30</v>
      </c>
      <c r="K357" s="10" t="s">
        <v>51</v>
      </c>
      <c r="L357" s="10" t="s">
        <v>80</v>
      </c>
      <c r="M357" s="10" t="s">
        <v>52</v>
      </c>
      <c r="N357" s="10">
        <v>4</v>
      </c>
      <c r="O357" s="10">
        <v>6508</v>
      </c>
      <c r="P357" s="10">
        <v>22127.200000000001</v>
      </c>
      <c r="Q357" s="12">
        <v>5582.58</v>
      </c>
      <c r="R357" s="17">
        <f t="shared" si="5"/>
        <v>0.25229491304819407</v>
      </c>
    </row>
    <row r="358" spans="2:18" x14ac:dyDescent="0.3">
      <c r="B358" s="20" t="s">
        <v>764</v>
      </c>
      <c r="C358" s="8">
        <v>45401</v>
      </c>
      <c r="D358" s="7" t="s">
        <v>765</v>
      </c>
      <c r="E358" s="7" t="s">
        <v>79</v>
      </c>
      <c r="F358" s="7" t="s">
        <v>37</v>
      </c>
      <c r="G358" s="7">
        <v>21</v>
      </c>
      <c r="H358" s="7" t="s">
        <v>29</v>
      </c>
      <c r="I358" s="7" t="s">
        <v>21</v>
      </c>
      <c r="J358" s="7" t="s">
        <v>50</v>
      </c>
      <c r="K358" s="7" t="s">
        <v>31</v>
      </c>
      <c r="L358" s="7" t="s">
        <v>47</v>
      </c>
      <c r="M358" s="7" t="s">
        <v>41</v>
      </c>
      <c r="N358" s="7">
        <v>2</v>
      </c>
      <c r="O358" s="7">
        <v>22325</v>
      </c>
      <c r="P358" s="7">
        <v>42417.5</v>
      </c>
      <c r="Q358" s="9">
        <v>8606.6</v>
      </c>
      <c r="R358" s="17">
        <f t="shared" si="5"/>
        <v>0.20290210408439913</v>
      </c>
    </row>
    <row r="359" spans="2:18" x14ac:dyDescent="0.3">
      <c r="B359" s="21" t="s">
        <v>766</v>
      </c>
      <c r="C359" s="11">
        <v>45496</v>
      </c>
      <c r="D359" s="10" t="s">
        <v>767</v>
      </c>
      <c r="E359" s="10" t="s">
        <v>65</v>
      </c>
      <c r="F359" s="10" t="s">
        <v>37</v>
      </c>
      <c r="G359" s="10">
        <v>19</v>
      </c>
      <c r="H359" s="10" t="s">
        <v>45</v>
      </c>
      <c r="I359" s="10" t="s">
        <v>39</v>
      </c>
      <c r="J359" s="10" t="s">
        <v>22</v>
      </c>
      <c r="K359" s="10" t="s">
        <v>23</v>
      </c>
      <c r="L359" s="10" t="s">
        <v>32</v>
      </c>
      <c r="M359" s="10" t="s">
        <v>41</v>
      </c>
      <c r="N359" s="10">
        <v>3</v>
      </c>
      <c r="O359" s="10">
        <v>5414</v>
      </c>
      <c r="P359" s="10">
        <v>12993.6</v>
      </c>
      <c r="Q359" s="12">
        <v>3689.65</v>
      </c>
      <c r="R359" s="17">
        <f t="shared" si="5"/>
        <v>0.28395902598202194</v>
      </c>
    </row>
    <row r="360" spans="2:18" x14ac:dyDescent="0.3">
      <c r="B360" s="20" t="s">
        <v>768</v>
      </c>
      <c r="C360" s="8">
        <v>45374</v>
      </c>
      <c r="D360" s="7" t="s">
        <v>769</v>
      </c>
      <c r="E360" s="7" t="s">
        <v>28</v>
      </c>
      <c r="F360" s="7" t="s">
        <v>37</v>
      </c>
      <c r="G360" s="7">
        <v>31</v>
      </c>
      <c r="H360" s="7" t="s">
        <v>38</v>
      </c>
      <c r="I360" s="7" t="s">
        <v>21</v>
      </c>
      <c r="J360" s="7" t="s">
        <v>30</v>
      </c>
      <c r="K360" s="7" t="s">
        <v>23</v>
      </c>
      <c r="L360" s="7" t="s">
        <v>24</v>
      </c>
      <c r="M360" s="7" t="s">
        <v>41</v>
      </c>
      <c r="N360" s="7">
        <v>5</v>
      </c>
      <c r="O360" s="7">
        <v>38311</v>
      </c>
      <c r="P360" s="7">
        <v>191555</v>
      </c>
      <c r="Q360" s="9">
        <v>45972.33</v>
      </c>
      <c r="R360" s="17">
        <f t="shared" si="5"/>
        <v>0.23999545822348672</v>
      </c>
    </row>
    <row r="361" spans="2:18" x14ac:dyDescent="0.3">
      <c r="B361" s="21" t="s">
        <v>770</v>
      </c>
      <c r="C361" s="11">
        <v>45634</v>
      </c>
      <c r="D361" s="10" t="s">
        <v>771</v>
      </c>
      <c r="E361" s="10" t="s">
        <v>36</v>
      </c>
      <c r="F361" s="10" t="s">
        <v>19</v>
      </c>
      <c r="G361" s="10">
        <v>20</v>
      </c>
      <c r="H361" s="10" t="s">
        <v>66</v>
      </c>
      <c r="I361" s="10" t="s">
        <v>21</v>
      </c>
      <c r="J361" s="10" t="s">
        <v>22</v>
      </c>
      <c r="K361" s="10" t="s">
        <v>51</v>
      </c>
      <c r="L361" s="10" t="s">
        <v>24</v>
      </c>
      <c r="M361" s="10" t="s">
        <v>52</v>
      </c>
      <c r="N361" s="10">
        <v>1</v>
      </c>
      <c r="O361" s="10">
        <v>13442</v>
      </c>
      <c r="P361" s="10">
        <v>12769.9</v>
      </c>
      <c r="Q361" s="12">
        <v>3234.56</v>
      </c>
      <c r="R361" s="17">
        <f t="shared" si="5"/>
        <v>0.25329564052968306</v>
      </c>
    </row>
    <row r="362" spans="2:18" x14ac:dyDescent="0.3">
      <c r="B362" s="20" t="s">
        <v>772</v>
      </c>
      <c r="C362" s="8">
        <v>45437</v>
      </c>
      <c r="D362" s="7" t="s">
        <v>773</v>
      </c>
      <c r="E362" s="7" t="s">
        <v>28</v>
      </c>
      <c r="F362" s="7" t="s">
        <v>19</v>
      </c>
      <c r="G362" s="7">
        <v>50</v>
      </c>
      <c r="H362" s="7" t="s">
        <v>56</v>
      </c>
      <c r="I362" s="7" t="s">
        <v>46</v>
      </c>
      <c r="J362" s="7" t="s">
        <v>22</v>
      </c>
      <c r="K362" s="7" t="s">
        <v>31</v>
      </c>
      <c r="L362" s="7" t="s">
        <v>47</v>
      </c>
      <c r="M362" s="7" t="s">
        <v>25</v>
      </c>
      <c r="N362" s="7">
        <v>5</v>
      </c>
      <c r="O362" s="7">
        <v>17576</v>
      </c>
      <c r="P362" s="7">
        <v>87880</v>
      </c>
      <c r="Q362" s="9">
        <v>13699.89</v>
      </c>
      <c r="R362" s="17">
        <f t="shared" si="5"/>
        <v>0.15589314974965862</v>
      </c>
    </row>
    <row r="363" spans="2:18" x14ac:dyDescent="0.3">
      <c r="B363" s="21" t="s">
        <v>774</v>
      </c>
      <c r="C363" s="11">
        <v>45336</v>
      </c>
      <c r="D363" s="10" t="s">
        <v>775</v>
      </c>
      <c r="E363" s="10" t="s">
        <v>28</v>
      </c>
      <c r="F363" s="10" t="s">
        <v>37</v>
      </c>
      <c r="G363" s="10">
        <v>56</v>
      </c>
      <c r="H363" s="10" t="s">
        <v>66</v>
      </c>
      <c r="I363" s="10" t="s">
        <v>39</v>
      </c>
      <c r="J363" s="10" t="s">
        <v>50</v>
      </c>
      <c r="K363" s="10" t="s">
        <v>51</v>
      </c>
      <c r="L363" s="10" t="s">
        <v>24</v>
      </c>
      <c r="M363" s="10" t="s">
        <v>25</v>
      </c>
      <c r="N363" s="10">
        <v>3</v>
      </c>
      <c r="O363" s="10">
        <v>48117</v>
      </c>
      <c r="P363" s="10">
        <v>115480.8</v>
      </c>
      <c r="Q363" s="12">
        <v>34596.22</v>
      </c>
      <c r="R363" s="17">
        <f t="shared" si="5"/>
        <v>0.29958417329980397</v>
      </c>
    </row>
    <row r="364" spans="2:18" x14ac:dyDescent="0.3">
      <c r="B364" s="20" t="s">
        <v>776</v>
      </c>
      <c r="C364" s="8">
        <v>45325</v>
      </c>
      <c r="D364" s="7" t="s">
        <v>777</v>
      </c>
      <c r="E364" s="7" t="s">
        <v>18</v>
      </c>
      <c r="F364" s="7" t="s">
        <v>19</v>
      </c>
      <c r="G364" s="7">
        <v>53</v>
      </c>
      <c r="H364" s="7" t="s">
        <v>29</v>
      </c>
      <c r="I364" s="7" t="s">
        <v>21</v>
      </c>
      <c r="J364" s="7" t="s">
        <v>30</v>
      </c>
      <c r="K364" s="7" t="s">
        <v>40</v>
      </c>
      <c r="L364" s="7" t="s">
        <v>80</v>
      </c>
      <c r="M364" s="7" t="s">
        <v>25</v>
      </c>
      <c r="N364" s="7">
        <v>3</v>
      </c>
      <c r="O364" s="7">
        <v>28153</v>
      </c>
      <c r="P364" s="7">
        <v>71790.149999999994</v>
      </c>
      <c r="Q364" s="9">
        <v>25300.48</v>
      </c>
      <c r="R364" s="17">
        <f t="shared" si="5"/>
        <v>0.35242272094430782</v>
      </c>
    </row>
    <row r="365" spans="2:18" x14ac:dyDescent="0.3">
      <c r="B365" s="21" t="s">
        <v>778</v>
      </c>
      <c r="C365" s="11">
        <v>45348</v>
      </c>
      <c r="D365" s="10" t="s">
        <v>779</v>
      </c>
      <c r="E365" s="10" t="s">
        <v>76</v>
      </c>
      <c r="F365" s="10" t="s">
        <v>37</v>
      </c>
      <c r="G365" s="10">
        <v>39</v>
      </c>
      <c r="H365" s="10" t="s">
        <v>29</v>
      </c>
      <c r="I365" s="10" t="s">
        <v>21</v>
      </c>
      <c r="J365" s="10" t="s">
        <v>22</v>
      </c>
      <c r="K365" s="10" t="s">
        <v>23</v>
      </c>
      <c r="L365" s="10" t="s">
        <v>32</v>
      </c>
      <c r="M365" s="10" t="s">
        <v>52</v>
      </c>
      <c r="N365" s="10">
        <v>5</v>
      </c>
      <c r="O365" s="10">
        <v>47560</v>
      </c>
      <c r="P365" s="10">
        <v>214020</v>
      </c>
      <c r="Q365" s="12">
        <v>79165.429999999993</v>
      </c>
      <c r="R365" s="17">
        <f t="shared" si="5"/>
        <v>0.36989734604242591</v>
      </c>
    </row>
    <row r="366" spans="2:18" x14ac:dyDescent="0.3">
      <c r="B366" s="20" t="s">
        <v>780</v>
      </c>
      <c r="C366" s="8">
        <v>45377</v>
      </c>
      <c r="D366" s="7" t="s">
        <v>781</v>
      </c>
      <c r="E366" s="7" t="s">
        <v>36</v>
      </c>
      <c r="F366" s="7" t="s">
        <v>19</v>
      </c>
      <c r="G366" s="7">
        <v>42</v>
      </c>
      <c r="H366" s="7" t="s">
        <v>45</v>
      </c>
      <c r="I366" s="7" t="s">
        <v>21</v>
      </c>
      <c r="J366" s="7" t="s">
        <v>22</v>
      </c>
      <c r="K366" s="7" t="s">
        <v>23</v>
      </c>
      <c r="L366" s="7" t="s">
        <v>60</v>
      </c>
      <c r="M366" s="7" t="s">
        <v>41</v>
      </c>
      <c r="N366" s="7">
        <v>5</v>
      </c>
      <c r="O366" s="7">
        <v>46941</v>
      </c>
      <c r="P366" s="7">
        <v>187764</v>
      </c>
      <c r="Q366" s="9">
        <v>29932.17</v>
      </c>
      <c r="R366" s="17">
        <f t="shared" si="5"/>
        <v>0.15941378539017062</v>
      </c>
    </row>
    <row r="367" spans="2:18" x14ac:dyDescent="0.3">
      <c r="B367" s="21" t="s">
        <v>782</v>
      </c>
      <c r="C367" s="11">
        <v>45399</v>
      </c>
      <c r="D367" s="10" t="s">
        <v>783</v>
      </c>
      <c r="E367" s="10" t="s">
        <v>44</v>
      </c>
      <c r="F367" s="10" t="s">
        <v>37</v>
      </c>
      <c r="G367" s="10">
        <v>43</v>
      </c>
      <c r="H367" s="10" t="s">
        <v>45</v>
      </c>
      <c r="I367" s="10" t="s">
        <v>21</v>
      </c>
      <c r="J367" s="10" t="s">
        <v>22</v>
      </c>
      <c r="K367" s="10" t="s">
        <v>31</v>
      </c>
      <c r="L367" s="10" t="s">
        <v>47</v>
      </c>
      <c r="M367" s="10" t="s">
        <v>33</v>
      </c>
      <c r="N367" s="10">
        <v>4</v>
      </c>
      <c r="O367" s="10">
        <v>31070</v>
      </c>
      <c r="P367" s="10">
        <v>99424</v>
      </c>
      <c r="Q367" s="12">
        <v>21482.35</v>
      </c>
      <c r="R367" s="17">
        <f t="shared" si="5"/>
        <v>0.21606805197940135</v>
      </c>
    </row>
    <row r="368" spans="2:18" x14ac:dyDescent="0.3">
      <c r="B368" s="20" t="s">
        <v>784</v>
      </c>
      <c r="C368" s="8">
        <v>45371</v>
      </c>
      <c r="D368" s="7" t="s">
        <v>785</v>
      </c>
      <c r="E368" s="7" t="s">
        <v>65</v>
      </c>
      <c r="F368" s="7" t="s">
        <v>37</v>
      </c>
      <c r="G368" s="7">
        <v>55</v>
      </c>
      <c r="H368" s="7" t="s">
        <v>56</v>
      </c>
      <c r="I368" s="7" t="s">
        <v>21</v>
      </c>
      <c r="J368" s="7" t="s">
        <v>22</v>
      </c>
      <c r="K368" s="7" t="s">
        <v>69</v>
      </c>
      <c r="L368" s="7" t="s">
        <v>32</v>
      </c>
      <c r="M368" s="7" t="s">
        <v>41</v>
      </c>
      <c r="N368" s="7">
        <v>3</v>
      </c>
      <c r="O368" s="7">
        <v>20287</v>
      </c>
      <c r="P368" s="7">
        <v>51731.85</v>
      </c>
      <c r="Q368" s="9">
        <v>12413.89</v>
      </c>
      <c r="R368" s="17">
        <f t="shared" si="5"/>
        <v>0.23996609438865998</v>
      </c>
    </row>
    <row r="369" spans="2:18" x14ac:dyDescent="0.3">
      <c r="B369" s="21" t="s">
        <v>786</v>
      </c>
      <c r="C369" s="11">
        <v>45432</v>
      </c>
      <c r="D369" s="10" t="s">
        <v>787</v>
      </c>
      <c r="E369" s="10" t="s">
        <v>28</v>
      </c>
      <c r="F369" s="10" t="s">
        <v>19</v>
      </c>
      <c r="G369" s="10">
        <v>43</v>
      </c>
      <c r="H369" s="10" t="s">
        <v>20</v>
      </c>
      <c r="I369" s="10" t="s">
        <v>21</v>
      </c>
      <c r="J369" s="10" t="s">
        <v>22</v>
      </c>
      <c r="K369" s="10" t="s">
        <v>40</v>
      </c>
      <c r="L369" s="10" t="s">
        <v>60</v>
      </c>
      <c r="M369" s="10" t="s">
        <v>33</v>
      </c>
      <c r="N369" s="10">
        <v>5</v>
      </c>
      <c r="O369" s="10">
        <v>37464</v>
      </c>
      <c r="P369" s="10">
        <v>168588</v>
      </c>
      <c r="Q369" s="12">
        <v>53658.13</v>
      </c>
      <c r="R369" s="17">
        <f t="shared" si="5"/>
        <v>0.31827965216978671</v>
      </c>
    </row>
    <row r="370" spans="2:18" x14ac:dyDescent="0.3">
      <c r="B370" s="20" t="s">
        <v>788</v>
      </c>
      <c r="C370" s="8">
        <v>45449</v>
      </c>
      <c r="D370" s="7" t="s">
        <v>789</v>
      </c>
      <c r="E370" s="7" t="s">
        <v>79</v>
      </c>
      <c r="F370" s="7" t="s">
        <v>19</v>
      </c>
      <c r="G370" s="7">
        <v>51</v>
      </c>
      <c r="H370" s="7" t="s">
        <v>66</v>
      </c>
      <c r="I370" s="7" t="s">
        <v>39</v>
      </c>
      <c r="J370" s="7" t="s">
        <v>50</v>
      </c>
      <c r="K370" s="7" t="s">
        <v>31</v>
      </c>
      <c r="L370" s="7" t="s">
        <v>80</v>
      </c>
      <c r="M370" s="7" t="s">
        <v>33</v>
      </c>
      <c r="N370" s="7">
        <v>2</v>
      </c>
      <c r="O370" s="7">
        <v>23703</v>
      </c>
      <c r="P370" s="7">
        <v>40295.1</v>
      </c>
      <c r="Q370" s="9">
        <v>11604.04</v>
      </c>
      <c r="R370" s="17">
        <f t="shared" si="5"/>
        <v>0.28797645371273434</v>
      </c>
    </row>
    <row r="371" spans="2:18" x14ac:dyDescent="0.3">
      <c r="B371" s="21" t="s">
        <v>790</v>
      </c>
      <c r="C371" s="11">
        <v>45334</v>
      </c>
      <c r="D371" s="10" t="s">
        <v>791</v>
      </c>
      <c r="E371" s="10" t="s">
        <v>44</v>
      </c>
      <c r="F371" s="10" t="s">
        <v>19</v>
      </c>
      <c r="G371" s="10">
        <v>46</v>
      </c>
      <c r="H371" s="10" t="s">
        <v>66</v>
      </c>
      <c r="I371" s="10" t="s">
        <v>46</v>
      </c>
      <c r="J371" s="10" t="s">
        <v>30</v>
      </c>
      <c r="K371" s="10" t="s">
        <v>69</v>
      </c>
      <c r="L371" s="10" t="s">
        <v>60</v>
      </c>
      <c r="M371" s="10" t="s">
        <v>52</v>
      </c>
      <c r="N371" s="10">
        <v>5</v>
      </c>
      <c r="O371" s="10">
        <v>45895</v>
      </c>
      <c r="P371" s="10">
        <v>195053.75</v>
      </c>
      <c r="Q371" s="12">
        <v>45517.83</v>
      </c>
      <c r="R371" s="17">
        <f t="shared" si="5"/>
        <v>0.23336044551822255</v>
      </c>
    </row>
    <row r="372" spans="2:18" x14ac:dyDescent="0.3">
      <c r="B372" s="20" t="s">
        <v>792</v>
      </c>
      <c r="C372" s="8">
        <v>45423</v>
      </c>
      <c r="D372" s="7" t="s">
        <v>793</v>
      </c>
      <c r="E372" s="7" t="s">
        <v>65</v>
      </c>
      <c r="F372" s="7" t="s">
        <v>37</v>
      </c>
      <c r="G372" s="7">
        <v>56</v>
      </c>
      <c r="H372" s="7" t="s">
        <v>29</v>
      </c>
      <c r="I372" s="7" t="s">
        <v>21</v>
      </c>
      <c r="J372" s="7" t="s">
        <v>30</v>
      </c>
      <c r="K372" s="7" t="s">
        <v>51</v>
      </c>
      <c r="L372" s="7" t="s">
        <v>80</v>
      </c>
      <c r="M372" s="7" t="s">
        <v>52</v>
      </c>
      <c r="N372" s="7">
        <v>2</v>
      </c>
      <c r="O372" s="7">
        <v>34001</v>
      </c>
      <c r="P372" s="7">
        <v>57801.7</v>
      </c>
      <c r="Q372" s="9">
        <v>19358.93</v>
      </c>
      <c r="R372" s="17">
        <f t="shared" si="5"/>
        <v>0.33491973419466903</v>
      </c>
    </row>
    <row r="373" spans="2:18" x14ac:dyDescent="0.3">
      <c r="B373" s="21" t="s">
        <v>794</v>
      </c>
      <c r="C373" s="11">
        <v>45567</v>
      </c>
      <c r="D373" s="10" t="s">
        <v>795</v>
      </c>
      <c r="E373" s="10" t="s">
        <v>36</v>
      </c>
      <c r="F373" s="10" t="s">
        <v>19</v>
      </c>
      <c r="G373" s="10">
        <v>49</v>
      </c>
      <c r="H373" s="10" t="s">
        <v>29</v>
      </c>
      <c r="I373" s="10" t="s">
        <v>21</v>
      </c>
      <c r="J373" s="10" t="s">
        <v>22</v>
      </c>
      <c r="K373" s="10" t="s">
        <v>69</v>
      </c>
      <c r="L373" s="10" t="s">
        <v>80</v>
      </c>
      <c r="M373" s="10" t="s">
        <v>33</v>
      </c>
      <c r="N373" s="10">
        <v>1</v>
      </c>
      <c r="O373" s="10">
        <v>32683</v>
      </c>
      <c r="P373" s="10">
        <v>31048.85</v>
      </c>
      <c r="Q373" s="12">
        <v>9318.8700000000008</v>
      </c>
      <c r="R373" s="17">
        <f t="shared" si="5"/>
        <v>0.30013575382018981</v>
      </c>
    </row>
    <row r="374" spans="2:18" x14ac:dyDescent="0.3">
      <c r="B374" s="20" t="s">
        <v>796</v>
      </c>
      <c r="C374" s="8">
        <v>45438</v>
      </c>
      <c r="D374" s="7" t="s">
        <v>797</v>
      </c>
      <c r="E374" s="7" t="s">
        <v>59</v>
      </c>
      <c r="F374" s="7" t="s">
        <v>37</v>
      </c>
      <c r="G374" s="7">
        <v>54</v>
      </c>
      <c r="H374" s="7" t="s">
        <v>29</v>
      </c>
      <c r="I374" s="7" t="s">
        <v>46</v>
      </c>
      <c r="J374" s="7" t="s">
        <v>22</v>
      </c>
      <c r="K374" s="7" t="s">
        <v>51</v>
      </c>
      <c r="L374" s="7" t="s">
        <v>32</v>
      </c>
      <c r="M374" s="7" t="s">
        <v>52</v>
      </c>
      <c r="N374" s="7">
        <v>2</v>
      </c>
      <c r="O374" s="7">
        <v>31528</v>
      </c>
      <c r="P374" s="7">
        <v>53597.599999999999</v>
      </c>
      <c r="Q374" s="9">
        <v>15468.94</v>
      </c>
      <c r="R374" s="17">
        <f t="shared" si="5"/>
        <v>0.28861254981566342</v>
      </c>
    </row>
    <row r="375" spans="2:18" x14ac:dyDescent="0.3">
      <c r="B375" s="21" t="s">
        <v>798</v>
      </c>
      <c r="C375" s="11">
        <v>45326</v>
      </c>
      <c r="D375" s="10" t="s">
        <v>799</v>
      </c>
      <c r="E375" s="10" t="s">
        <v>18</v>
      </c>
      <c r="F375" s="10" t="s">
        <v>19</v>
      </c>
      <c r="G375" s="10">
        <v>44</v>
      </c>
      <c r="H375" s="10" t="s">
        <v>38</v>
      </c>
      <c r="I375" s="10" t="s">
        <v>21</v>
      </c>
      <c r="J375" s="10" t="s">
        <v>22</v>
      </c>
      <c r="K375" s="10" t="s">
        <v>51</v>
      </c>
      <c r="L375" s="10" t="s">
        <v>47</v>
      </c>
      <c r="M375" s="10" t="s">
        <v>41</v>
      </c>
      <c r="N375" s="10">
        <v>4</v>
      </c>
      <c r="O375" s="10">
        <v>11303</v>
      </c>
      <c r="P375" s="10">
        <v>42951.4</v>
      </c>
      <c r="Q375" s="12">
        <v>10122.709999999999</v>
      </c>
      <c r="R375" s="17">
        <f t="shared" si="5"/>
        <v>0.23567823167580099</v>
      </c>
    </row>
    <row r="376" spans="2:18" x14ac:dyDescent="0.3">
      <c r="B376" s="20" t="s">
        <v>800</v>
      </c>
      <c r="C376" s="8">
        <v>45358</v>
      </c>
      <c r="D376" s="7" t="s">
        <v>801</v>
      </c>
      <c r="E376" s="7" t="s">
        <v>93</v>
      </c>
      <c r="F376" s="7" t="s">
        <v>37</v>
      </c>
      <c r="G376" s="7">
        <v>40</v>
      </c>
      <c r="H376" s="7" t="s">
        <v>29</v>
      </c>
      <c r="I376" s="7" t="s">
        <v>39</v>
      </c>
      <c r="J376" s="7" t="s">
        <v>22</v>
      </c>
      <c r="K376" s="7" t="s">
        <v>40</v>
      </c>
      <c r="L376" s="7" t="s">
        <v>47</v>
      </c>
      <c r="M376" s="7" t="s">
        <v>41</v>
      </c>
      <c r="N376" s="7">
        <v>2</v>
      </c>
      <c r="O376" s="7">
        <v>31968</v>
      </c>
      <c r="P376" s="7">
        <v>63936</v>
      </c>
      <c r="Q376" s="9">
        <v>19309.68</v>
      </c>
      <c r="R376" s="17">
        <f t="shared" si="5"/>
        <v>0.30201576576576578</v>
      </c>
    </row>
    <row r="377" spans="2:18" x14ac:dyDescent="0.3">
      <c r="B377" s="21" t="s">
        <v>802</v>
      </c>
      <c r="C377" s="11">
        <v>45412</v>
      </c>
      <c r="D377" s="10" t="s">
        <v>803</v>
      </c>
      <c r="E377" s="10" t="s">
        <v>55</v>
      </c>
      <c r="F377" s="10" t="s">
        <v>19</v>
      </c>
      <c r="G377" s="10">
        <v>39</v>
      </c>
      <c r="H377" s="10" t="s">
        <v>45</v>
      </c>
      <c r="I377" s="10" t="s">
        <v>39</v>
      </c>
      <c r="J377" s="10" t="s">
        <v>50</v>
      </c>
      <c r="K377" s="10" t="s">
        <v>31</v>
      </c>
      <c r="L377" s="10" t="s">
        <v>47</v>
      </c>
      <c r="M377" s="10" t="s">
        <v>33</v>
      </c>
      <c r="N377" s="10">
        <v>2</v>
      </c>
      <c r="O377" s="10">
        <v>33707</v>
      </c>
      <c r="P377" s="10">
        <v>53931.199999999997</v>
      </c>
      <c r="Q377" s="12">
        <v>11009.23</v>
      </c>
      <c r="R377" s="17">
        <f t="shared" si="5"/>
        <v>0.20413471237428427</v>
      </c>
    </row>
    <row r="378" spans="2:18" x14ac:dyDescent="0.3">
      <c r="B378" s="20" t="s">
        <v>804</v>
      </c>
      <c r="C378" s="8">
        <v>45522</v>
      </c>
      <c r="D378" s="7" t="s">
        <v>805</v>
      </c>
      <c r="E378" s="7" t="s">
        <v>59</v>
      </c>
      <c r="F378" s="7" t="s">
        <v>37</v>
      </c>
      <c r="G378" s="7">
        <v>38</v>
      </c>
      <c r="H378" s="7" t="s">
        <v>29</v>
      </c>
      <c r="I378" s="7" t="s">
        <v>39</v>
      </c>
      <c r="J378" s="7" t="s">
        <v>30</v>
      </c>
      <c r="K378" s="7" t="s">
        <v>23</v>
      </c>
      <c r="L378" s="7" t="s">
        <v>32</v>
      </c>
      <c r="M378" s="7" t="s">
        <v>41</v>
      </c>
      <c r="N378" s="7">
        <v>1</v>
      </c>
      <c r="O378" s="7">
        <v>44671</v>
      </c>
      <c r="P378" s="7">
        <v>37970.35</v>
      </c>
      <c r="Q378" s="9">
        <v>11239.33</v>
      </c>
      <c r="R378" s="17">
        <f t="shared" si="5"/>
        <v>0.29600280218644287</v>
      </c>
    </row>
    <row r="379" spans="2:18" x14ac:dyDescent="0.3">
      <c r="B379" s="21" t="s">
        <v>806</v>
      </c>
      <c r="C379" s="11">
        <v>45377</v>
      </c>
      <c r="D379" s="10" t="s">
        <v>807</v>
      </c>
      <c r="E379" s="10" t="s">
        <v>36</v>
      </c>
      <c r="F379" s="10" t="s">
        <v>19</v>
      </c>
      <c r="G379" s="10">
        <v>51</v>
      </c>
      <c r="H379" s="10" t="s">
        <v>38</v>
      </c>
      <c r="I379" s="10" t="s">
        <v>46</v>
      </c>
      <c r="J379" s="10" t="s">
        <v>22</v>
      </c>
      <c r="K379" s="10" t="s">
        <v>31</v>
      </c>
      <c r="L379" s="10" t="s">
        <v>47</v>
      </c>
      <c r="M379" s="10" t="s">
        <v>25</v>
      </c>
      <c r="N379" s="10">
        <v>2</v>
      </c>
      <c r="O379" s="10">
        <v>31719</v>
      </c>
      <c r="P379" s="10">
        <v>57094.2</v>
      </c>
      <c r="Q379" s="12">
        <v>14751.1</v>
      </c>
      <c r="R379" s="17">
        <f t="shared" si="5"/>
        <v>0.25836424715645373</v>
      </c>
    </row>
    <row r="380" spans="2:18" x14ac:dyDescent="0.3">
      <c r="B380" s="20" t="s">
        <v>808</v>
      </c>
      <c r="C380" s="8">
        <v>45520</v>
      </c>
      <c r="D380" s="7" t="s">
        <v>809</v>
      </c>
      <c r="E380" s="7" t="s">
        <v>18</v>
      </c>
      <c r="F380" s="7" t="s">
        <v>19</v>
      </c>
      <c r="G380" s="7">
        <v>58</v>
      </c>
      <c r="H380" s="7" t="s">
        <v>29</v>
      </c>
      <c r="I380" s="7" t="s">
        <v>39</v>
      </c>
      <c r="J380" s="7" t="s">
        <v>22</v>
      </c>
      <c r="K380" s="7" t="s">
        <v>40</v>
      </c>
      <c r="L380" s="7" t="s">
        <v>47</v>
      </c>
      <c r="M380" s="7" t="s">
        <v>33</v>
      </c>
      <c r="N380" s="7">
        <v>4</v>
      </c>
      <c r="O380" s="7">
        <v>36975</v>
      </c>
      <c r="P380" s="7">
        <v>140505</v>
      </c>
      <c r="Q380" s="9">
        <v>21211.94</v>
      </c>
      <c r="R380" s="17">
        <f t="shared" si="5"/>
        <v>0.15096928934913348</v>
      </c>
    </row>
    <row r="381" spans="2:18" x14ac:dyDescent="0.3">
      <c r="B381" s="21" t="s">
        <v>810</v>
      </c>
      <c r="C381" s="11">
        <v>45387</v>
      </c>
      <c r="D381" s="10" t="s">
        <v>811</v>
      </c>
      <c r="E381" s="10" t="s">
        <v>79</v>
      </c>
      <c r="F381" s="10" t="s">
        <v>19</v>
      </c>
      <c r="G381" s="10">
        <v>49</v>
      </c>
      <c r="H381" s="10" t="s">
        <v>29</v>
      </c>
      <c r="I381" s="10" t="s">
        <v>21</v>
      </c>
      <c r="J381" s="10" t="s">
        <v>50</v>
      </c>
      <c r="K381" s="10" t="s">
        <v>40</v>
      </c>
      <c r="L381" s="10" t="s">
        <v>24</v>
      </c>
      <c r="M381" s="10" t="s">
        <v>25</v>
      </c>
      <c r="N381" s="10">
        <v>2</v>
      </c>
      <c r="O381" s="10">
        <v>3236</v>
      </c>
      <c r="P381" s="10">
        <v>5177.6000000000004</v>
      </c>
      <c r="Q381" s="12">
        <v>1697.39</v>
      </c>
      <c r="R381" s="17">
        <f t="shared" si="5"/>
        <v>0.32783335908529049</v>
      </c>
    </row>
    <row r="382" spans="2:18" x14ac:dyDescent="0.3">
      <c r="B382" s="20" t="s">
        <v>812</v>
      </c>
      <c r="C382" s="8">
        <v>45489</v>
      </c>
      <c r="D382" s="7" t="s">
        <v>813</v>
      </c>
      <c r="E382" s="7" t="s">
        <v>65</v>
      </c>
      <c r="F382" s="7" t="s">
        <v>37</v>
      </c>
      <c r="G382" s="7">
        <v>46</v>
      </c>
      <c r="H382" s="7" t="s">
        <v>45</v>
      </c>
      <c r="I382" s="7" t="s">
        <v>21</v>
      </c>
      <c r="J382" s="7" t="s">
        <v>30</v>
      </c>
      <c r="K382" s="7" t="s">
        <v>51</v>
      </c>
      <c r="L382" s="7" t="s">
        <v>24</v>
      </c>
      <c r="M382" s="7" t="s">
        <v>52</v>
      </c>
      <c r="N382" s="7">
        <v>5</v>
      </c>
      <c r="O382" s="7">
        <v>14767</v>
      </c>
      <c r="P382" s="7">
        <v>73835</v>
      </c>
      <c r="Q382" s="9">
        <v>27156.49</v>
      </c>
      <c r="R382" s="17">
        <f t="shared" si="5"/>
        <v>0.36779968849461642</v>
      </c>
    </row>
    <row r="383" spans="2:18" x14ac:dyDescent="0.3">
      <c r="B383" s="21" t="s">
        <v>814</v>
      </c>
      <c r="C383" s="11">
        <v>45404</v>
      </c>
      <c r="D383" s="10" t="s">
        <v>815</v>
      </c>
      <c r="E383" s="10" t="s">
        <v>44</v>
      </c>
      <c r="F383" s="10" t="s">
        <v>37</v>
      </c>
      <c r="G383" s="10">
        <v>39</v>
      </c>
      <c r="H383" s="10" t="s">
        <v>56</v>
      </c>
      <c r="I383" s="10" t="s">
        <v>46</v>
      </c>
      <c r="J383" s="10" t="s">
        <v>22</v>
      </c>
      <c r="K383" s="10" t="s">
        <v>40</v>
      </c>
      <c r="L383" s="10" t="s">
        <v>60</v>
      </c>
      <c r="M383" s="10" t="s">
        <v>41</v>
      </c>
      <c r="N383" s="10">
        <v>1</v>
      </c>
      <c r="O383" s="10">
        <v>47855</v>
      </c>
      <c r="P383" s="10">
        <v>43069.5</v>
      </c>
      <c r="Q383" s="12">
        <v>11030.44</v>
      </c>
      <c r="R383" s="17">
        <f t="shared" si="5"/>
        <v>0.25610791859668675</v>
      </c>
    </row>
    <row r="384" spans="2:18" x14ac:dyDescent="0.3">
      <c r="B384" s="20" t="s">
        <v>816</v>
      </c>
      <c r="C384" s="8">
        <v>45581</v>
      </c>
      <c r="D384" s="7" t="s">
        <v>817</v>
      </c>
      <c r="E384" s="7" t="s">
        <v>44</v>
      </c>
      <c r="F384" s="7" t="s">
        <v>37</v>
      </c>
      <c r="G384" s="7">
        <v>55</v>
      </c>
      <c r="H384" s="7" t="s">
        <v>66</v>
      </c>
      <c r="I384" s="7" t="s">
        <v>21</v>
      </c>
      <c r="J384" s="7" t="s">
        <v>22</v>
      </c>
      <c r="K384" s="7" t="s">
        <v>69</v>
      </c>
      <c r="L384" s="7" t="s">
        <v>24</v>
      </c>
      <c r="M384" s="7" t="s">
        <v>33</v>
      </c>
      <c r="N384" s="7">
        <v>4</v>
      </c>
      <c r="O384" s="7">
        <v>22368</v>
      </c>
      <c r="P384" s="7">
        <v>71577.600000000006</v>
      </c>
      <c r="Q384" s="9">
        <v>24434.05</v>
      </c>
      <c r="R384" s="17">
        <f t="shared" si="5"/>
        <v>0.34136447715486407</v>
      </c>
    </row>
    <row r="385" spans="2:18" x14ac:dyDescent="0.3">
      <c r="B385" s="21" t="s">
        <v>818</v>
      </c>
      <c r="C385" s="11">
        <v>45462</v>
      </c>
      <c r="D385" s="10" t="s">
        <v>819</v>
      </c>
      <c r="E385" s="10" t="s">
        <v>55</v>
      </c>
      <c r="F385" s="10" t="s">
        <v>37</v>
      </c>
      <c r="G385" s="10">
        <v>37</v>
      </c>
      <c r="H385" s="10" t="s">
        <v>29</v>
      </c>
      <c r="I385" s="10" t="s">
        <v>46</v>
      </c>
      <c r="J385" s="10" t="s">
        <v>50</v>
      </c>
      <c r="K385" s="10" t="s">
        <v>69</v>
      </c>
      <c r="L385" s="10" t="s">
        <v>47</v>
      </c>
      <c r="M385" s="10" t="s">
        <v>33</v>
      </c>
      <c r="N385" s="10">
        <v>1</v>
      </c>
      <c r="O385" s="10">
        <v>31572</v>
      </c>
      <c r="P385" s="10">
        <v>25257.599999999999</v>
      </c>
      <c r="Q385" s="12">
        <v>4642.88</v>
      </c>
      <c r="R385" s="17">
        <f t="shared" si="5"/>
        <v>0.18382110731027493</v>
      </c>
    </row>
    <row r="386" spans="2:18" x14ac:dyDescent="0.3">
      <c r="B386" s="20" t="s">
        <v>820</v>
      </c>
      <c r="C386" s="8">
        <v>45466</v>
      </c>
      <c r="D386" s="7" t="s">
        <v>821</v>
      </c>
      <c r="E386" s="7" t="s">
        <v>93</v>
      </c>
      <c r="F386" s="7" t="s">
        <v>19</v>
      </c>
      <c r="G386" s="7">
        <v>50</v>
      </c>
      <c r="H386" s="7" t="s">
        <v>20</v>
      </c>
      <c r="I386" s="7" t="s">
        <v>46</v>
      </c>
      <c r="J386" s="7" t="s">
        <v>30</v>
      </c>
      <c r="K386" s="7" t="s">
        <v>31</v>
      </c>
      <c r="L386" s="7" t="s">
        <v>80</v>
      </c>
      <c r="M386" s="7" t="s">
        <v>52</v>
      </c>
      <c r="N386" s="7">
        <v>3</v>
      </c>
      <c r="O386" s="7">
        <v>25668</v>
      </c>
      <c r="P386" s="7">
        <v>65453.4</v>
      </c>
      <c r="Q386" s="9">
        <v>14083.75</v>
      </c>
      <c r="R386" s="17">
        <f t="shared" si="5"/>
        <v>0.21517216829072286</v>
      </c>
    </row>
    <row r="387" spans="2:18" x14ac:dyDescent="0.3">
      <c r="B387" s="21" t="s">
        <v>822</v>
      </c>
      <c r="C387" s="11">
        <v>45396</v>
      </c>
      <c r="D387" s="10" t="s">
        <v>823</v>
      </c>
      <c r="E387" s="10" t="s">
        <v>18</v>
      </c>
      <c r="F387" s="10" t="s">
        <v>37</v>
      </c>
      <c r="G387" s="10">
        <v>54</v>
      </c>
      <c r="H387" s="10" t="s">
        <v>56</v>
      </c>
      <c r="I387" s="10" t="s">
        <v>21</v>
      </c>
      <c r="J387" s="10" t="s">
        <v>30</v>
      </c>
      <c r="K387" s="10" t="s">
        <v>31</v>
      </c>
      <c r="L387" s="10" t="s">
        <v>47</v>
      </c>
      <c r="M387" s="10" t="s">
        <v>33</v>
      </c>
      <c r="N387" s="10">
        <v>2</v>
      </c>
      <c r="O387" s="10">
        <v>11355</v>
      </c>
      <c r="P387" s="10">
        <v>20439</v>
      </c>
      <c r="Q387" s="12">
        <v>7461.49</v>
      </c>
      <c r="R387" s="17">
        <f t="shared" si="5"/>
        <v>0.36506140222124367</v>
      </c>
    </row>
    <row r="388" spans="2:18" x14ac:dyDescent="0.3">
      <c r="B388" s="20" t="s">
        <v>824</v>
      </c>
      <c r="C388" s="8">
        <v>45554</v>
      </c>
      <c r="D388" s="7" t="s">
        <v>825</v>
      </c>
      <c r="E388" s="7" t="s">
        <v>18</v>
      </c>
      <c r="F388" s="7" t="s">
        <v>19</v>
      </c>
      <c r="G388" s="7">
        <v>40</v>
      </c>
      <c r="H388" s="7" t="s">
        <v>56</v>
      </c>
      <c r="I388" s="7" t="s">
        <v>21</v>
      </c>
      <c r="J388" s="7" t="s">
        <v>50</v>
      </c>
      <c r="K388" s="7" t="s">
        <v>40</v>
      </c>
      <c r="L388" s="7" t="s">
        <v>80</v>
      </c>
      <c r="M388" s="7" t="s">
        <v>25</v>
      </c>
      <c r="N388" s="7">
        <v>4</v>
      </c>
      <c r="O388" s="7">
        <v>8208</v>
      </c>
      <c r="P388" s="7">
        <v>27907.200000000001</v>
      </c>
      <c r="Q388" s="9">
        <v>7526.32</v>
      </c>
      <c r="R388" s="17">
        <f t="shared" ref="R388:R451" si="6">Q388/P388</f>
        <v>0.26969097580552687</v>
      </c>
    </row>
    <row r="389" spans="2:18" x14ac:dyDescent="0.3">
      <c r="B389" s="21" t="s">
        <v>826</v>
      </c>
      <c r="C389" s="11">
        <v>45535</v>
      </c>
      <c r="D389" s="10" t="s">
        <v>827</v>
      </c>
      <c r="E389" s="10" t="s">
        <v>44</v>
      </c>
      <c r="F389" s="10" t="s">
        <v>37</v>
      </c>
      <c r="G389" s="10">
        <v>24</v>
      </c>
      <c r="H389" s="10" t="s">
        <v>66</v>
      </c>
      <c r="I389" s="10" t="s">
        <v>21</v>
      </c>
      <c r="J389" s="10" t="s">
        <v>30</v>
      </c>
      <c r="K389" s="10" t="s">
        <v>31</v>
      </c>
      <c r="L389" s="10" t="s">
        <v>24</v>
      </c>
      <c r="M389" s="10" t="s">
        <v>25</v>
      </c>
      <c r="N389" s="10">
        <v>5</v>
      </c>
      <c r="O389" s="10">
        <v>5648</v>
      </c>
      <c r="P389" s="10">
        <v>28240</v>
      </c>
      <c r="Q389" s="12">
        <v>4856.4399999999996</v>
      </c>
      <c r="R389" s="17">
        <f t="shared" si="6"/>
        <v>0.17197025495750706</v>
      </c>
    </row>
    <row r="390" spans="2:18" x14ac:dyDescent="0.3">
      <c r="B390" s="20" t="s">
        <v>828</v>
      </c>
      <c r="C390" s="8">
        <v>45308</v>
      </c>
      <c r="D390" s="7" t="s">
        <v>829</v>
      </c>
      <c r="E390" s="7" t="s">
        <v>59</v>
      </c>
      <c r="F390" s="7" t="s">
        <v>19</v>
      </c>
      <c r="G390" s="7">
        <v>34</v>
      </c>
      <c r="H390" s="7" t="s">
        <v>56</v>
      </c>
      <c r="I390" s="7" t="s">
        <v>21</v>
      </c>
      <c r="J390" s="7" t="s">
        <v>50</v>
      </c>
      <c r="K390" s="7" t="s">
        <v>23</v>
      </c>
      <c r="L390" s="7" t="s">
        <v>60</v>
      </c>
      <c r="M390" s="7" t="s">
        <v>41</v>
      </c>
      <c r="N390" s="7">
        <v>3</v>
      </c>
      <c r="O390" s="7">
        <v>28913</v>
      </c>
      <c r="P390" s="7">
        <v>73728.149999999994</v>
      </c>
      <c r="Q390" s="9">
        <v>12251.19</v>
      </c>
      <c r="R390" s="17">
        <f t="shared" si="6"/>
        <v>0.1661670610207906</v>
      </c>
    </row>
    <row r="391" spans="2:18" x14ac:dyDescent="0.3">
      <c r="B391" s="21" t="s">
        <v>830</v>
      </c>
      <c r="C391" s="11">
        <v>45448</v>
      </c>
      <c r="D391" s="10" t="s">
        <v>831</v>
      </c>
      <c r="E391" s="10" t="s">
        <v>44</v>
      </c>
      <c r="F391" s="10" t="s">
        <v>37</v>
      </c>
      <c r="G391" s="10">
        <v>49</v>
      </c>
      <c r="H391" s="10" t="s">
        <v>56</v>
      </c>
      <c r="I391" s="10" t="s">
        <v>21</v>
      </c>
      <c r="J391" s="10" t="s">
        <v>22</v>
      </c>
      <c r="K391" s="10" t="s">
        <v>31</v>
      </c>
      <c r="L391" s="10" t="s">
        <v>60</v>
      </c>
      <c r="M391" s="10" t="s">
        <v>52</v>
      </c>
      <c r="N391" s="10">
        <v>4</v>
      </c>
      <c r="O391" s="10">
        <v>33443</v>
      </c>
      <c r="P391" s="10">
        <v>127083.4</v>
      </c>
      <c r="Q391" s="12">
        <v>44949.87</v>
      </c>
      <c r="R391" s="17">
        <f t="shared" si="6"/>
        <v>0.35370370953248026</v>
      </c>
    </row>
    <row r="392" spans="2:18" x14ac:dyDescent="0.3">
      <c r="B392" s="20" t="s">
        <v>832</v>
      </c>
      <c r="C392" s="8">
        <v>45323</v>
      </c>
      <c r="D392" s="7" t="s">
        <v>833</v>
      </c>
      <c r="E392" s="7" t="s">
        <v>36</v>
      </c>
      <c r="F392" s="7" t="s">
        <v>37</v>
      </c>
      <c r="G392" s="7">
        <v>49</v>
      </c>
      <c r="H392" s="7" t="s">
        <v>29</v>
      </c>
      <c r="I392" s="7" t="s">
        <v>21</v>
      </c>
      <c r="J392" s="7" t="s">
        <v>50</v>
      </c>
      <c r="K392" s="7" t="s">
        <v>31</v>
      </c>
      <c r="L392" s="7" t="s">
        <v>32</v>
      </c>
      <c r="M392" s="7" t="s">
        <v>52</v>
      </c>
      <c r="N392" s="7">
        <v>5</v>
      </c>
      <c r="O392" s="7">
        <v>26721</v>
      </c>
      <c r="P392" s="7">
        <v>113564.25</v>
      </c>
      <c r="Q392" s="9">
        <v>42961.18</v>
      </c>
      <c r="R392" s="17">
        <f t="shared" si="6"/>
        <v>0.3782984521977647</v>
      </c>
    </row>
    <row r="393" spans="2:18" x14ac:dyDescent="0.3">
      <c r="B393" s="21" t="s">
        <v>834</v>
      </c>
      <c r="C393" s="11">
        <v>45507</v>
      </c>
      <c r="D393" s="10" t="s">
        <v>835</v>
      </c>
      <c r="E393" s="10" t="s">
        <v>59</v>
      </c>
      <c r="F393" s="10" t="s">
        <v>19</v>
      </c>
      <c r="G393" s="10">
        <v>35</v>
      </c>
      <c r="H393" s="10" t="s">
        <v>66</v>
      </c>
      <c r="I393" s="10" t="s">
        <v>39</v>
      </c>
      <c r="J393" s="10" t="s">
        <v>50</v>
      </c>
      <c r="K393" s="10" t="s">
        <v>69</v>
      </c>
      <c r="L393" s="10" t="s">
        <v>32</v>
      </c>
      <c r="M393" s="10" t="s">
        <v>33</v>
      </c>
      <c r="N393" s="10">
        <v>4</v>
      </c>
      <c r="O393" s="10">
        <v>16526</v>
      </c>
      <c r="P393" s="10">
        <v>66104</v>
      </c>
      <c r="Q393" s="12">
        <v>11492.57</v>
      </c>
      <c r="R393" s="17">
        <f t="shared" si="6"/>
        <v>0.17385589374319255</v>
      </c>
    </row>
    <row r="394" spans="2:18" x14ac:dyDescent="0.3">
      <c r="B394" s="20" t="s">
        <v>836</v>
      </c>
      <c r="C394" s="8">
        <v>45475</v>
      </c>
      <c r="D394" s="7" t="s">
        <v>837</v>
      </c>
      <c r="E394" s="7" t="s">
        <v>93</v>
      </c>
      <c r="F394" s="7" t="s">
        <v>37</v>
      </c>
      <c r="G394" s="7">
        <v>22</v>
      </c>
      <c r="H394" s="7" t="s">
        <v>38</v>
      </c>
      <c r="I394" s="7" t="s">
        <v>21</v>
      </c>
      <c r="J394" s="7" t="s">
        <v>30</v>
      </c>
      <c r="K394" s="7" t="s">
        <v>40</v>
      </c>
      <c r="L394" s="7" t="s">
        <v>24</v>
      </c>
      <c r="M394" s="7" t="s">
        <v>33</v>
      </c>
      <c r="N394" s="7">
        <v>1</v>
      </c>
      <c r="O394" s="7">
        <v>25961</v>
      </c>
      <c r="P394" s="7">
        <v>20768.8</v>
      </c>
      <c r="Q394" s="9">
        <v>4546.1899999999996</v>
      </c>
      <c r="R394" s="17">
        <f t="shared" si="6"/>
        <v>0.21889516967759329</v>
      </c>
    </row>
    <row r="395" spans="2:18" x14ac:dyDescent="0.3">
      <c r="B395" s="21" t="s">
        <v>838</v>
      </c>
      <c r="C395" s="11">
        <v>45618</v>
      </c>
      <c r="D395" s="10" t="s">
        <v>839</v>
      </c>
      <c r="E395" s="10" t="s">
        <v>44</v>
      </c>
      <c r="F395" s="10" t="s">
        <v>37</v>
      </c>
      <c r="G395" s="10">
        <v>55</v>
      </c>
      <c r="H395" s="10" t="s">
        <v>29</v>
      </c>
      <c r="I395" s="10" t="s">
        <v>21</v>
      </c>
      <c r="J395" s="10" t="s">
        <v>30</v>
      </c>
      <c r="K395" s="10" t="s">
        <v>69</v>
      </c>
      <c r="L395" s="10" t="s">
        <v>60</v>
      </c>
      <c r="M395" s="10" t="s">
        <v>33</v>
      </c>
      <c r="N395" s="10">
        <v>4</v>
      </c>
      <c r="O395" s="10">
        <v>11518</v>
      </c>
      <c r="P395" s="10">
        <v>43768.4</v>
      </c>
      <c r="Q395" s="12">
        <v>11190.39</v>
      </c>
      <c r="R395" s="17">
        <f t="shared" si="6"/>
        <v>0.25567281417643778</v>
      </c>
    </row>
    <row r="396" spans="2:18" x14ac:dyDescent="0.3">
      <c r="B396" s="20" t="s">
        <v>840</v>
      </c>
      <c r="C396" s="8">
        <v>45400</v>
      </c>
      <c r="D396" s="7" t="s">
        <v>841</v>
      </c>
      <c r="E396" s="7" t="s">
        <v>28</v>
      </c>
      <c r="F396" s="7" t="s">
        <v>19</v>
      </c>
      <c r="G396" s="7">
        <v>36</v>
      </c>
      <c r="H396" s="7" t="s">
        <v>66</v>
      </c>
      <c r="I396" s="7" t="s">
        <v>21</v>
      </c>
      <c r="J396" s="7" t="s">
        <v>22</v>
      </c>
      <c r="K396" s="7" t="s">
        <v>31</v>
      </c>
      <c r="L396" s="7" t="s">
        <v>47</v>
      </c>
      <c r="M396" s="7" t="s">
        <v>52</v>
      </c>
      <c r="N396" s="7">
        <v>1</v>
      </c>
      <c r="O396" s="7">
        <v>33096</v>
      </c>
      <c r="P396" s="7">
        <v>33096</v>
      </c>
      <c r="Q396" s="9">
        <v>11804.81</v>
      </c>
      <c r="R396" s="17">
        <f t="shared" si="6"/>
        <v>0.35668388929175732</v>
      </c>
    </row>
    <row r="397" spans="2:18" x14ac:dyDescent="0.3">
      <c r="B397" s="21" t="s">
        <v>842</v>
      </c>
      <c r="C397" s="11">
        <v>45539</v>
      </c>
      <c r="D397" s="10" t="s">
        <v>843</v>
      </c>
      <c r="E397" s="10" t="s">
        <v>28</v>
      </c>
      <c r="F397" s="10" t="s">
        <v>37</v>
      </c>
      <c r="G397" s="10">
        <v>50</v>
      </c>
      <c r="H397" s="10" t="s">
        <v>29</v>
      </c>
      <c r="I397" s="10" t="s">
        <v>21</v>
      </c>
      <c r="J397" s="10" t="s">
        <v>22</v>
      </c>
      <c r="K397" s="10" t="s">
        <v>51</v>
      </c>
      <c r="L397" s="10" t="s">
        <v>47</v>
      </c>
      <c r="M397" s="10" t="s">
        <v>41</v>
      </c>
      <c r="N397" s="10">
        <v>4</v>
      </c>
      <c r="O397" s="10">
        <v>12988</v>
      </c>
      <c r="P397" s="10">
        <v>44159.199999999997</v>
      </c>
      <c r="Q397" s="12">
        <v>7512.77</v>
      </c>
      <c r="R397" s="17">
        <f t="shared" si="6"/>
        <v>0.17012921429736047</v>
      </c>
    </row>
    <row r="398" spans="2:18" x14ac:dyDescent="0.3">
      <c r="B398" s="20" t="s">
        <v>844</v>
      </c>
      <c r="C398" s="8">
        <v>45633</v>
      </c>
      <c r="D398" s="7" t="s">
        <v>845</v>
      </c>
      <c r="E398" s="7" t="s">
        <v>55</v>
      </c>
      <c r="F398" s="7" t="s">
        <v>37</v>
      </c>
      <c r="G398" s="7">
        <v>41</v>
      </c>
      <c r="H398" s="7" t="s">
        <v>29</v>
      </c>
      <c r="I398" s="7" t="s">
        <v>21</v>
      </c>
      <c r="J398" s="7" t="s">
        <v>22</v>
      </c>
      <c r="K398" s="7" t="s">
        <v>23</v>
      </c>
      <c r="L398" s="7" t="s">
        <v>80</v>
      </c>
      <c r="M398" s="7" t="s">
        <v>52</v>
      </c>
      <c r="N398" s="7">
        <v>3</v>
      </c>
      <c r="O398" s="7">
        <v>16451</v>
      </c>
      <c r="P398" s="7">
        <v>49353</v>
      </c>
      <c r="Q398" s="9">
        <v>13807.29</v>
      </c>
      <c r="R398" s="17">
        <f t="shared" si="6"/>
        <v>0.27976597167345452</v>
      </c>
    </row>
    <row r="399" spans="2:18" x14ac:dyDescent="0.3">
      <c r="B399" s="21" t="s">
        <v>846</v>
      </c>
      <c r="C399" s="11">
        <v>45441</v>
      </c>
      <c r="D399" s="10" t="s">
        <v>847</v>
      </c>
      <c r="E399" s="10" t="s">
        <v>55</v>
      </c>
      <c r="F399" s="10" t="s">
        <v>37</v>
      </c>
      <c r="G399" s="10">
        <v>60</v>
      </c>
      <c r="H399" s="10" t="s">
        <v>38</v>
      </c>
      <c r="I399" s="10" t="s">
        <v>21</v>
      </c>
      <c r="J399" s="10" t="s">
        <v>22</v>
      </c>
      <c r="K399" s="10" t="s">
        <v>51</v>
      </c>
      <c r="L399" s="10" t="s">
        <v>47</v>
      </c>
      <c r="M399" s="10" t="s">
        <v>52</v>
      </c>
      <c r="N399" s="10">
        <v>3</v>
      </c>
      <c r="O399" s="10">
        <v>49182</v>
      </c>
      <c r="P399" s="10">
        <v>125414.1</v>
      </c>
      <c r="Q399" s="12">
        <v>44051.66</v>
      </c>
      <c r="R399" s="17">
        <f t="shared" si="6"/>
        <v>0.35124966012593484</v>
      </c>
    </row>
    <row r="400" spans="2:18" x14ac:dyDescent="0.3">
      <c r="B400" s="20" t="s">
        <v>848</v>
      </c>
      <c r="C400" s="8">
        <v>45500</v>
      </c>
      <c r="D400" s="7" t="s">
        <v>849</v>
      </c>
      <c r="E400" s="7" t="s">
        <v>36</v>
      </c>
      <c r="F400" s="7" t="s">
        <v>19</v>
      </c>
      <c r="G400" s="7">
        <v>31</v>
      </c>
      <c r="H400" s="7" t="s">
        <v>45</v>
      </c>
      <c r="I400" s="7" t="s">
        <v>46</v>
      </c>
      <c r="J400" s="7" t="s">
        <v>22</v>
      </c>
      <c r="K400" s="7" t="s">
        <v>31</v>
      </c>
      <c r="L400" s="7" t="s">
        <v>47</v>
      </c>
      <c r="M400" s="7" t="s">
        <v>33</v>
      </c>
      <c r="N400" s="7">
        <v>3</v>
      </c>
      <c r="O400" s="7">
        <v>22122</v>
      </c>
      <c r="P400" s="7">
        <v>53092.800000000003</v>
      </c>
      <c r="Q400" s="9">
        <v>20345.75</v>
      </c>
      <c r="R400" s="17">
        <f t="shared" si="6"/>
        <v>0.38321109453635893</v>
      </c>
    </row>
    <row r="401" spans="2:18" x14ac:dyDescent="0.3">
      <c r="B401" s="21" t="s">
        <v>850</v>
      </c>
      <c r="C401" s="11">
        <v>45518</v>
      </c>
      <c r="D401" s="10" t="s">
        <v>851</v>
      </c>
      <c r="E401" s="10" t="s">
        <v>18</v>
      </c>
      <c r="F401" s="10" t="s">
        <v>19</v>
      </c>
      <c r="G401" s="10">
        <v>44</v>
      </c>
      <c r="H401" s="10" t="s">
        <v>45</v>
      </c>
      <c r="I401" s="10" t="s">
        <v>21</v>
      </c>
      <c r="J401" s="10" t="s">
        <v>22</v>
      </c>
      <c r="K401" s="10" t="s">
        <v>40</v>
      </c>
      <c r="L401" s="10" t="s">
        <v>60</v>
      </c>
      <c r="M401" s="10" t="s">
        <v>33</v>
      </c>
      <c r="N401" s="10">
        <v>4</v>
      </c>
      <c r="O401" s="10">
        <v>25041</v>
      </c>
      <c r="P401" s="10">
        <v>100164</v>
      </c>
      <c r="Q401" s="12">
        <v>18205.62</v>
      </c>
      <c r="R401" s="17">
        <f t="shared" si="6"/>
        <v>0.18175811668863062</v>
      </c>
    </row>
    <row r="402" spans="2:18" x14ac:dyDescent="0.3">
      <c r="B402" s="20" t="s">
        <v>852</v>
      </c>
      <c r="C402" s="8">
        <v>45381</v>
      </c>
      <c r="D402" s="7" t="s">
        <v>853</v>
      </c>
      <c r="E402" s="7" t="s">
        <v>55</v>
      </c>
      <c r="F402" s="7" t="s">
        <v>37</v>
      </c>
      <c r="G402" s="7">
        <v>54</v>
      </c>
      <c r="H402" s="7" t="s">
        <v>20</v>
      </c>
      <c r="I402" s="7" t="s">
        <v>21</v>
      </c>
      <c r="J402" s="7" t="s">
        <v>30</v>
      </c>
      <c r="K402" s="7" t="s">
        <v>23</v>
      </c>
      <c r="L402" s="7" t="s">
        <v>32</v>
      </c>
      <c r="M402" s="7" t="s">
        <v>25</v>
      </c>
      <c r="N402" s="7">
        <v>2</v>
      </c>
      <c r="O402" s="7">
        <v>30167</v>
      </c>
      <c r="P402" s="7">
        <v>60334</v>
      </c>
      <c r="Q402" s="9">
        <v>13304.35</v>
      </c>
      <c r="R402" s="17">
        <f t="shared" si="6"/>
        <v>0.22051165180495244</v>
      </c>
    </row>
    <row r="403" spans="2:18" x14ac:dyDescent="0.3">
      <c r="B403" s="21" t="s">
        <v>854</v>
      </c>
      <c r="C403" s="11">
        <v>45560</v>
      </c>
      <c r="D403" s="10" t="s">
        <v>855</v>
      </c>
      <c r="E403" s="10" t="s">
        <v>65</v>
      </c>
      <c r="F403" s="10" t="s">
        <v>19</v>
      </c>
      <c r="G403" s="10">
        <v>30</v>
      </c>
      <c r="H403" s="10" t="s">
        <v>29</v>
      </c>
      <c r="I403" s="10" t="s">
        <v>21</v>
      </c>
      <c r="J403" s="10" t="s">
        <v>22</v>
      </c>
      <c r="K403" s="10" t="s">
        <v>69</v>
      </c>
      <c r="L403" s="10" t="s">
        <v>32</v>
      </c>
      <c r="M403" s="10" t="s">
        <v>33</v>
      </c>
      <c r="N403" s="10">
        <v>2</v>
      </c>
      <c r="O403" s="10">
        <v>24664</v>
      </c>
      <c r="P403" s="10">
        <v>44395.199999999997</v>
      </c>
      <c r="Q403" s="12">
        <v>10223.51</v>
      </c>
      <c r="R403" s="17">
        <f t="shared" si="6"/>
        <v>0.23028412981583596</v>
      </c>
    </row>
    <row r="404" spans="2:18" x14ac:dyDescent="0.3">
      <c r="B404" s="20" t="s">
        <v>856</v>
      </c>
      <c r="C404" s="8">
        <v>45644</v>
      </c>
      <c r="D404" s="7" t="s">
        <v>857</v>
      </c>
      <c r="E404" s="7" t="s">
        <v>18</v>
      </c>
      <c r="F404" s="7" t="s">
        <v>37</v>
      </c>
      <c r="G404" s="7">
        <v>53</v>
      </c>
      <c r="H404" s="7" t="s">
        <v>56</v>
      </c>
      <c r="I404" s="7" t="s">
        <v>21</v>
      </c>
      <c r="J404" s="7" t="s">
        <v>30</v>
      </c>
      <c r="K404" s="7" t="s">
        <v>23</v>
      </c>
      <c r="L404" s="7" t="s">
        <v>32</v>
      </c>
      <c r="M404" s="7" t="s">
        <v>25</v>
      </c>
      <c r="N404" s="7">
        <v>5</v>
      </c>
      <c r="O404" s="7">
        <v>3648</v>
      </c>
      <c r="P404" s="7">
        <v>15504</v>
      </c>
      <c r="Q404" s="9">
        <v>2801.39</v>
      </c>
      <c r="R404" s="17">
        <f t="shared" si="6"/>
        <v>0.18068820949432404</v>
      </c>
    </row>
    <row r="405" spans="2:18" x14ac:dyDescent="0.3">
      <c r="B405" s="21" t="s">
        <v>858</v>
      </c>
      <c r="C405" s="11">
        <v>45454</v>
      </c>
      <c r="D405" s="10" t="s">
        <v>859</v>
      </c>
      <c r="E405" s="10" t="s">
        <v>36</v>
      </c>
      <c r="F405" s="10" t="s">
        <v>37</v>
      </c>
      <c r="G405" s="10">
        <v>20</v>
      </c>
      <c r="H405" s="10" t="s">
        <v>29</v>
      </c>
      <c r="I405" s="10" t="s">
        <v>21</v>
      </c>
      <c r="J405" s="10" t="s">
        <v>50</v>
      </c>
      <c r="K405" s="10" t="s">
        <v>31</v>
      </c>
      <c r="L405" s="10" t="s">
        <v>32</v>
      </c>
      <c r="M405" s="10" t="s">
        <v>25</v>
      </c>
      <c r="N405" s="10">
        <v>1</v>
      </c>
      <c r="O405" s="10">
        <v>28833</v>
      </c>
      <c r="P405" s="10">
        <v>24508.05</v>
      </c>
      <c r="Q405" s="12">
        <v>4663.8500000000004</v>
      </c>
      <c r="R405" s="17">
        <f t="shared" si="6"/>
        <v>0.19029869777481279</v>
      </c>
    </row>
    <row r="406" spans="2:18" x14ac:dyDescent="0.3">
      <c r="B406" s="20" t="s">
        <v>860</v>
      </c>
      <c r="C406" s="8">
        <v>45641</v>
      </c>
      <c r="D406" s="7" t="s">
        <v>861</v>
      </c>
      <c r="E406" s="7" t="s">
        <v>36</v>
      </c>
      <c r="F406" s="7" t="s">
        <v>19</v>
      </c>
      <c r="G406" s="7">
        <v>22</v>
      </c>
      <c r="H406" s="7" t="s">
        <v>56</v>
      </c>
      <c r="I406" s="7" t="s">
        <v>39</v>
      </c>
      <c r="J406" s="7" t="s">
        <v>30</v>
      </c>
      <c r="K406" s="7" t="s">
        <v>69</v>
      </c>
      <c r="L406" s="7" t="s">
        <v>24</v>
      </c>
      <c r="M406" s="7" t="s">
        <v>33</v>
      </c>
      <c r="N406" s="7">
        <v>5</v>
      </c>
      <c r="O406" s="7">
        <v>26281</v>
      </c>
      <c r="P406" s="7">
        <v>105124</v>
      </c>
      <c r="Q406" s="9">
        <v>16929.580000000002</v>
      </c>
      <c r="R406" s="17">
        <f t="shared" si="6"/>
        <v>0.16104391004908492</v>
      </c>
    </row>
    <row r="407" spans="2:18" x14ac:dyDescent="0.3">
      <c r="B407" s="21" t="s">
        <v>862</v>
      </c>
      <c r="C407" s="11">
        <v>45417</v>
      </c>
      <c r="D407" s="10" t="s">
        <v>863</v>
      </c>
      <c r="E407" s="10" t="s">
        <v>44</v>
      </c>
      <c r="F407" s="10" t="s">
        <v>19</v>
      </c>
      <c r="G407" s="10">
        <v>18</v>
      </c>
      <c r="H407" s="10" t="s">
        <v>29</v>
      </c>
      <c r="I407" s="10" t="s">
        <v>21</v>
      </c>
      <c r="J407" s="10" t="s">
        <v>22</v>
      </c>
      <c r="K407" s="10" t="s">
        <v>23</v>
      </c>
      <c r="L407" s="10" t="s">
        <v>60</v>
      </c>
      <c r="M407" s="10" t="s">
        <v>25</v>
      </c>
      <c r="N407" s="10">
        <v>2</v>
      </c>
      <c r="O407" s="10">
        <v>27395</v>
      </c>
      <c r="P407" s="10">
        <v>49311</v>
      </c>
      <c r="Q407" s="12">
        <v>13788.18</v>
      </c>
      <c r="R407" s="17">
        <f t="shared" si="6"/>
        <v>0.27961671837926627</v>
      </c>
    </row>
    <row r="408" spans="2:18" x14ac:dyDescent="0.3">
      <c r="B408" s="20" t="s">
        <v>864</v>
      </c>
      <c r="C408" s="8">
        <v>45410</v>
      </c>
      <c r="D408" s="7" t="s">
        <v>865</v>
      </c>
      <c r="E408" s="7" t="s">
        <v>28</v>
      </c>
      <c r="F408" s="7" t="s">
        <v>19</v>
      </c>
      <c r="G408" s="7">
        <v>44</v>
      </c>
      <c r="H408" s="7" t="s">
        <v>38</v>
      </c>
      <c r="I408" s="7" t="s">
        <v>46</v>
      </c>
      <c r="J408" s="7" t="s">
        <v>30</v>
      </c>
      <c r="K408" s="7" t="s">
        <v>69</v>
      </c>
      <c r="L408" s="7" t="s">
        <v>80</v>
      </c>
      <c r="M408" s="7" t="s">
        <v>33</v>
      </c>
      <c r="N408" s="7">
        <v>5</v>
      </c>
      <c r="O408" s="7">
        <v>7951</v>
      </c>
      <c r="P408" s="7">
        <v>37767.25</v>
      </c>
      <c r="Q408" s="9">
        <v>7573.42</v>
      </c>
      <c r="R408" s="17">
        <f t="shared" si="6"/>
        <v>0.20052876500142319</v>
      </c>
    </row>
    <row r="409" spans="2:18" x14ac:dyDescent="0.3">
      <c r="B409" s="21" t="s">
        <v>866</v>
      </c>
      <c r="C409" s="11">
        <v>45564</v>
      </c>
      <c r="D409" s="10" t="s">
        <v>867</v>
      </c>
      <c r="E409" s="10" t="s">
        <v>59</v>
      </c>
      <c r="F409" s="10" t="s">
        <v>19</v>
      </c>
      <c r="G409" s="10">
        <v>53</v>
      </c>
      <c r="H409" s="10" t="s">
        <v>66</v>
      </c>
      <c r="I409" s="10" t="s">
        <v>46</v>
      </c>
      <c r="J409" s="10" t="s">
        <v>50</v>
      </c>
      <c r="K409" s="10" t="s">
        <v>69</v>
      </c>
      <c r="L409" s="10" t="s">
        <v>60</v>
      </c>
      <c r="M409" s="10" t="s">
        <v>41</v>
      </c>
      <c r="N409" s="10">
        <v>4</v>
      </c>
      <c r="O409" s="10">
        <v>9633</v>
      </c>
      <c r="P409" s="10">
        <v>32752.2</v>
      </c>
      <c r="Q409" s="12">
        <v>9626.16</v>
      </c>
      <c r="R409" s="17">
        <f t="shared" si="6"/>
        <v>0.29390880612600068</v>
      </c>
    </row>
    <row r="410" spans="2:18" x14ac:dyDescent="0.3">
      <c r="B410" s="20" t="s">
        <v>868</v>
      </c>
      <c r="C410" s="8">
        <v>45571</v>
      </c>
      <c r="D410" s="7" t="s">
        <v>869</v>
      </c>
      <c r="E410" s="7" t="s">
        <v>44</v>
      </c>
      <c r="F410" s="7" t="s">
        <v>37</v>
      </c>
      <c r="G410" s="7">
        <v>40</v>
      </c>
      <c r="H410" s="7" t="s">
        <v>20</v>
      </c>
      <c r="I410" s="7" t="s">
        <v>21</v>
      </c>
      <c r="J410" s="7" t="s">
        <v>50</v>
      </c>
      <c r="K410" s="7" t="s">
        <v>23</v>
      </c>
      <c r="L410" s="7" t="s">
        <v>24</v>
      </c>
      <c r="M410" s="7" t="s">
        <v>52</v>
      </c>
      <c r="N410" s="7">
        <v>2</v>
      </c>
      <c r="O410" s="7">
        <v>27756</v>
      </c>
      <c r="P410" s="7">
        <v>49960.800000000003</v>
      </c>
      <c r="Q410" s="9">
        <v>18639.27</v>
      </c>
      <c r="R410" s="17">
        <f t="shared" si="6"/>
        <v>0.37307789306816541</v>
      </c>
    </row>
    <row r="411" spans="2:18" x14ac:dyDescent="0.3">
      <c r="B411" s="21" t="s">
        <v>870</v>
      </c>
      <c r="C411" s="11">
        <v>45443</v>
      </c>
      <c r="D411" s="10" t="s">
        <v>871</v>
      </c>
      <c r="E411" s="10" t="s">
        <v>18</v>
      </c>
      <c r="F411" s="10" t="s">
        <v>19</v>
      </c>
      <c r="G411" s="10">
        <v>40</v>
      </c>
      <c r="H411" s="10" t="s">
        <v>38</v>
      </c>
      <c r="I411" s="10" t="s">
        <v>46</v>
      </c>
      <c r="J411" s="10" t="s">
        <v>30</v>
      </c>
      <c r="K411" s="10" t="s">
        <v>31</v>
      </c>
      <c r="L411" s="10" t="s">
        <v>47</v>
      </c>
      <c r="M411" s="10" t="s">
        <v>33</v>
      </c>
      <c r="N411" s="10">
        <v>5</v>
      </c>
      <c r="O411" s="10">
        <v>42921</v>
      </c>
      <c r="P411" s="10">
        <v>193144.5</v>
      </c>
      <c r="Q411" s="12">
        <v>61045.15</v>
      </c>
      <c r="R411" s="17">
        <f t="shared" si="6"/>
        <v>0.31605947878401924</v>
      </c>
    </row>
    <row r="412" spans="2:18" x14ac:dyDescent="0.3">
      <c r="B412" s="20" t="s">
        <v>872</v>
      </c>
      <c r="C412" s="8">
        <v>45304</v>
      </c>
      <c r="D412" s="7" t="s">
        <v>873</v>
      </c>
      <c r="E412" s="7" t="s">
        <v>65</v>
      </c>
      <c r="F412" s="7" t="s">
        <v>37</v>
      </c>
      <c r="G412" s="7">
        <v>39</v>
      </c>
      <c r="H412" s="7" t="s">
        <v>56</v>
      </c>
      <c r="I412" s="7" t="s">
        <v>21</v>
      </c>
      <c r="J412" s="7" t="s">
        <v>30</v>
      </c>
      <c r="K412" s="7" t="s">
        <v>31</v>
      </c>
      <c r="L412" s="7" t="s">
        <v>80</v>
      </c>
      <c r="M412" s="7" t="s">
        <v>25</v>
      </c>
      <c r="N412" s="7">
        <v>2</v>
      </c>
      <c r="O412" s="7">
        <v>25176</v>
      </c>
      <c r="P412" s="7">
        <v>50352</v>
      </c>
      <c r="Q412" s="9">
        <v>13484.46</v>
      </c>
      <c r="R412" s="17">
        <f t="shared" si="6"/>
        <v>0.26780386081982838</v>
      </c>
    </row>
    <row r="413" spans="2:18" x14ac:dyDescent="0.3">
      <c r="B413" s="21" t="s">
        <v>874</v>
      </c>
      <c r="C413" s="11">
        <v>45647</v>
      </c>
      <c r="D413" s="10" t="s">
        <v>875</v>
      </c>
      <c r="E413" s="10" t="s">
        <v>93</v>
      </c>
      <c r="F413" s="10" t="s">
        <v>37</v>
      </c>
      <c r="G413" s="10">
        <v>35</v>
      </c>
      <c r="H413" s="10" t="s">
        <v>38</v>
      </c>
      <c r="I413" s="10" t="s">
        <v>46</v>
      </c>
      <c r="J413" s="10" t="s">
        <v>22</v>
      </c>
      <c r="K413" s="10" t="s">
        <v>23</v>
      </c>
      <c r="L413" s="10" t="s">
        <v>24</v>
      </c>
      <c r="M413" s="10" t="s">
        <v>25</v>
      </c>
      <c r="N413" s="10">
        <v>5</v>
      </c>
      <c r="O413" s="10">
        <v>49549</v>
      </c>
      <c r="P413" s="10">
        <v>210583.25</v>
      </c>
      <c r="Q413" s="12">
        <v>45975.69</v>
      </c>
      <c r="R413" s="17">
        <f t="shared" si="6"/>
        <v>0.2183254841018932</v>
      </c>
    </row>
    <row r="414" spans="2:18" x14ac:dyDescent="0.3">
      <c r="B414" s="20" t="s">
        <v>876</v>
      </c>
      <c r="C414" s="8">
        <v>45373</v>
      </c>
      <c r="D414" s="7" t="s">
        <v>877</v>
      </c>
      <c r="E414" s="7" t="s">
        <v>79</v>
      </c>
      <c r="F414" s="7" t="s">
        <v>37</v>
      </c>
      <c r="G414" s="7">
        <v>29</v>
      </c>
      <c r="H414" s="7" t="s">
        <v>66</v>
      </c>
      <c r="I414" s="7" t="s">
        <v>46</v>
      </c>
      <c r="J414" s="7" t="s">
        <v>22</v>
      </c>
      <c r="K414" s="7" t="s">
        <v>23</v>
      </c>
      <c r="L414" s="7" t="s">
        <v>32</v>
      </c>
      <c r="M414" s="7" t="s">
        <v>33</v>
      </c>
      <c r="N414" s="7">
        <v>1</v>
      </c>
      <c r="O414" s="7">
        <v>37724</v>
      </c>
      <c r="P414" s="7">
        <v>32065.4</v>
      </c>
      <c r="Q414" s="9">
        <v>8131.92</v>
      </c>
      <c r="R414" s="17">
        <f t="shared" si="6"/>
        <v>0.25360419642355936</v>
      </c>
    </row>
    <row r="415" spans="2:18" x14ac:dyDescent="0.3">
      <c r="B415" s="21" t="s">
        <v>878</v>
      </c>
      <c r="C415" s="11">
        <v>45618</v>
      </c>
      <c r="D415" s="10" t="s">
        <v>879</v>
      </c>
      <c r="E415" s="10" t="s">
        <v>65</v>
      </c>
      <c r="F415" s="10" t="s">
        <v>37</v>
      </c>
      <c r="G415" s="10">
        <v>32</v>
      </c>
      <c r="H415" s="10" t="s">
        <v>56</v>
      </c>
      <c r="I415" s="10" t="s">
        <v>46</v>
      </c>
      <c r="J415" s="10" t="s">
        <v>30</v>
      </c>
      <c r="K415" s="10" t="s">
        <v>69</v>
      </c>
      <c r="L415" s="10" t="s">
        <v>60</v>
      </c>
      <c r="M415" s="10" t="s">
        <v>33</v>
      </c>
      <c r="N415" s="10">
        <v>3</v>
      </c>
      <c r="O415" s="10">
        <v>4416</v>
      </c>
      <c r="P415" s="10">
        <v>11260.8</v>
      </c>
      <c r="Q415" s="12">
        <v>2334.5100000000002</v>
      </c>
      <c r="R415" s="17">
        <f t="shared" si="6"/>
        <v>0.20731297953964198</v>
      </c>
    </row>
    <row r="416" spans="2:18" x14ac:dyDescent="0.3">
      <c r="B416" s="20" t="s">
        <v>880</v>
      </c>
      <c r="C416" s="8">
        <v>45464</v>
      </c>
      <c r="D416" s="7" t="s">
        <v>881</v>
      </c>
      <c r="E416" s="7" t="s">
        <v>59</v>
      </c>
      <c r="F416" s="7" t="s">
        <v>19</v>
      </c>
      <c r="G416" s="7">
        <v>26</v>
      </c>
      <c r="H416" s="7" t="s">
        <v>45</v>
      </c>
      <c r="I416" s="7" t="s">
        <v>21</v>
      </c>
      <c r="J416" s="7" t="s">
        <v>30</v>
      </c>
      <c r="K416" s="7" t="s">
        <v>23</v>
      </c>
      <c r="L416" s="7" t="s">
        <v>47</v>
      </c>
      <c r="M416" s="7" t="s">
        <v>25</v>
      </c>
      <c r="N416" s="7">
        <v>2</v>
      </c>
      <c r="O416" s="7">
        <v>10831</v>
      </c>
      <c r="P416" s="7">
        <v>20578.900000000001</v>
      </c>
      <c r="Q416" s="9">
        <v>5092.3900000000003</v>
      </c>
      <c r="R416" s="17">
        <f t="shared" si="6"/>
        <v>0.24745686115390036</v>
      </c>
    </row>
    <row r="417" spans="2:18" x14ac:dyDescent="0.3">
      <c r="B417" s="21" t="s">
        <v>882</v>
      </c>
      <c r="C417" s="11">
        <v>45449</v>
      </c>
      <c r="D417" s="10" t="s">
        <v>883</v>
      </c>
      <c r="E417" s="10" t="s">
        <v>93</v>
      </c>
      <c r="F417" s="10" t="s">
        <v>19</v>
      </c>
      <c r="G417" s="10">
        <v>20</v>
      </c>
      <c r="H417" s="10" t="s">
        <v>56</v>
      </c>
      <c r="I417" s="10" t="s">
        <v>21</v>
      </c>
      <c r="J417" s="10" t="s">
        <v>50</v>
      </c>
      <c r="K417" s="10" t="s">
        <v>31</v>
      </c>
      <c r="L417" s="10" t="s">
        <v>32</v>
      </c>
      <c r="M417" s="10" t="s">
        <v>41</v>
      </c>
      <c r="N417" s="10">
        <v>1</v>
      </c>
      <c r="O417" s="10">
        <v>26970</v>
      </c>
      <c r="P417" s="10">
        <v>21576</v>
      </c>
      <c r="Q417" s="12">
        <v>7450.87</v>
      </c>
      <c r="R417" s="17">
        <f t="shared" si="6"/>
        <v>0.34533138672599184</v>
      </c>
    </row>
    <row r="418" spans="2:18" x14ac:dyDescent="0.3">
      <c r="B418" s="20" t="s">
        <v>884</v>
      </c>
      <c r="C418" s="8">
        <v>45466</v>
      </c>
      <c r="D418" s="7" t="s">
        <v>885</v>
      </c>
      <c r="E418" s="7" t="s">
        <v>55</v>
      </c>
      <c r="F418" s="7" t="s">
        <v>37</v>
      </c>
      <c r="G418" s="7">
        <v>57</v>
      </c>
      <c r="H418" s="7" t="s">
        <v>38</v>
      </c>
      <c r="I418" s="7" t="s">
        <v>21</v>
      </c>
      <c r="J418" s="7" t="s">
        <v>22</v>
      </c>
      <c r="K418" s="7" t="s">
        <v>40</v>
      </c>
      <c r="L418" s="7" t="s">
        <v>24</v>
      </c>
      <c r="M418" s="7" t="s">
        <v>52</v>
      </c>
      <c r="N418" s="7">
        <v>2</v>
      </c>
      <c r="O418" s="7">
        <v>38506</v>
      </c>
      <c r="P418" s="7">
        <v>61609.599999999999</v>
      </c>
      <c r="Q418" s="9">
        <v>22711.06</v>
      </c>
      <c r="R418" s="17">
        <f t="shared" si="6"/>
        <v>0.36862859034955592</v>
      </c>
    </row>
    <row r="419" spans="2:18" x14ac:dyDescent="0.3">
      <c r="B419" s="21" t="s">
        <v>886</v>
      </c>
      <c r="C419" s="11">
        <v>45368</v>
      </c>
      <c r="D419" s="10" t="s">
        <v>887</v>
      </c>
      <c r="E419" s="10" t="s">
        <v>59</v>
      </c>
      <c r="F419" s="10" t="s">
        <v>37</v>
      </c>
      <c r="G419" s="10">
        <v>29</v>
      </c>
      <c r="H419" s="10" t="s">
        <v>66</v>
      </c>
      <c r="I419" s="10" t="s">
        <v>39</v>
      </c>
      <c r="J419" s="10" t="s">
        <v>22</v>
      </c>
      <c r="K419" s="10" t="s">
        <v>40</v>
      </c>
      <c r="L419" s="10" t="s">
        <v>80</v>
      </c>
      <c r="M419" s="10" t="s">
        <v>41</v>
      </c>
      <c r="N419" s="10">
        <v>3</v>
      </c>
      <c r="O419" s="10">
        <v>20207</v>
      </c>
      <c r="P419" s="10">
        <v>48496.800000000003</v>
      </c>
      <c r="Q419" s="12">
        <v>18665.189999999999</v>
      </c>
      <c r="R419" s="17">
        <f t="shared" si="6"/>
        <v>0.38487467214331661</v>
      </c>
    </row>
    <row r="420" spans="2:18" x14ac:dyDescent="0.3">
      <c r="B420" s="20" t="s">
        <v>888</v>
      </c>
      <c r="C420" s="8">
        <v>45323</v>
      </c>
      <c r="D420" s="7" t="s">
        <v>889</v>
      </c>
      <c r="E420" s="7" t="s">
        <v>93</v>
      </c>
      <c r="F420" s="7" t="s">
        <v>19</v>
      </c>
      <c r="G420" s="7">
        <v>57</v>
      </c>
      <c r="H420" s="7" t="s">
        <v>29</v>
      </c>
      <c r="I420" s="7" t="s">
        <v>21</v>
      </c>
      <c r="J420" s="7" t="s">
        <v>30</v>
      </c>
      <c r="K420" s="7" t="s">
        <v>40</v>
      </c>
      <c r="L420" s="7" t="s">
        <v>32</v>
      </c>
      <c r="M420" s="7" t="s">
        <v>52</v>
      </c>
      <c r="N420" s="7">
        <v>2</v>
      </c>
      <c r="O420" s="7">
        <v>26391</v>
      </c>
      <c r="P420" s="7">
        <v>44864.7</v>
      </c>
      <c r="Q420" s="9">
        <v>12213.74</v>
      </c>
      <c r="R420" s="17">
        <f t="shared" si="6"/>
        <v>0.27223496423691679</v>
      </c>
    </row>
    <row r="421" spans="2:18" x14ac:dyDescent="0.3">
      <c r="B421" s="21" t="s">
        <v>890</v>
      </c>
      <c r="C421" s="11">
        <v>45657</v>
      </c>
      <c r="D421" s="10" t="s">
        <v>891</v>
      </c>
      <c r="E421" s="10" t="s">
        <v>76</v>
      </c>
      <c r="F421" s="10" t="s">
        <v>19</v>
      </c>
      <c r="G421" s="10">
        <v>22</v>
      </c>
      <c r="H421" s="10" t="s">
        <v>56</v>
      </c>
      <c r="I421" s="10" t="s">
        <v>39</v>
      </c>
      <c r="J421" s="10" t="s">
        <v>50</v>
      </c>
      <c r="K421" s="10" t="s">
        <v>51</v>
      </c>
      <c r="L421" s="10" t="s">
        <v>32</v>
      </c>
      <c r="M421" s="10" t="s">
        <v>41</v>
      </c>
      <c r="N421" s="10">
        <v>3</v>
      </c>
      <c r="O421" s="10">
        <v>39089</v>
      </c>
      <c r="P421" s="10">
        <v>99676.95</v>
      </c>
      <c r="Q421" s="12">
        <v>38413.01</v>
      </c>
      <c r="R421" s="17">
        <f t="shared" si="6"/>
        <v>0.38537505411230982</v>
      </c>
    </row>
    <row r="422" spans="2:18" x14ac:dyDescent="0.3">
      <c r="B422" s="20" t="s">
        <v>892</v>
      </c>
      <c r="C422" s="8">
        <v>45362</v>
      </c>
      <c r="D422" s="7" t="s">
        <v>893</v>
      </c>
      <c r="E422" s="7" t="s">
        <v>44</v>
      </c>
      <c r="F422" s="7" t="s">
        <v>19</v>
      </c>
      <c r="G422" s="7">
        <v>46</v>
      </c>
      <c r="H422" s="7" t="s">
        <v>38</v>
      </c>
      <c r="I422" s="7" t="s">
        <v>21</v>
      </c>
      <c r="J422" s="7" t="s">
        <v>30</v>
      </c>
      <c r="K422" s="7" t="s">
        <v>31</v>
      </c>
      <c r="L422" s="7" t="s">
        <v>80</v>
      </c>
      <c r="M422" s="7" t="s">
        <v>33</v>
      </c>
      <c r="N422" s="7">
        <v>1</v>
      </c>
      <c r="O422" s="7">
        <v>43701</v>
      </c>
      <c r="P422" s="7">
        <v>34960.800000000003</v>
      </c>
      <c r="Q422" s="9">
        <v>6186.01</v>
      </c>
      <c r="R422" s="17">
        <f t="shared" si="6"/>
        <v>0.17694131713233105</v>
      </c>
    </row>
    <row r="423" spans="2:18" x14ac:dyDescent="0.3">
      <c r="B423" s="21" t="s">
        <v>894</v>
      </c>
      <c r="C423" s="11">
        <v>45624</v>
      </c>
      <c r="D423" s="10" t="s">
        <v>895</v>
      </c>
      <c r="E423" s="10" t="s">
        <v>44</v>
      </c>
      <c r="F423" s="10" t="s">
        <v>19</v>
      </c>
      <c r="G423" s="10">
        <v>38</v>
      </c>
      <c r="H423" s="10" t="s">
        <v>56</v>
      </c>
      <c r="I423" s="10" t="s">
        <v>21</v>
      </c>
      <c r="J423" s="10" t="s">
        <v>30</v>
      </c>
      <c r="K423" s="10" t="s">
        <v>23</v>
      </c>
      <c r="L423" s="10" t="s">
        <v>32</v>
      </c>
      <c r="M423" s="10" t="s">
        <v>52</v>
      </c>
      <c r="N423" s="10">
        <v>3</v>
      </c>
      <c r="O423" s="10">
        <v>44797</v>
      </c>
      <c r="P423" s="10">
        <v>114232.35</v>
      </c>
      <c r="Q423" s="12">
        <v>17277.810000000001</v>
      </c>
      <c r="R423" s="17">
        <f t="shared" si="6"/>
        <v>0.15125146247976165</v>
      </c>
    </row>
    <row r="424" spans="2:18" x14ac:dyDescent="0.3">
      <c r="B424" s="20" t="s">
        <v>896</v>
      </c>
      <c r="C424" s="8">
        <v>45495</v>
      </c>
      <c r="D424" s="7" t="s">
        <v>897</v>
      </c>
      <c r="E424" s="7" t="s">
        <v>59</v>
      </c>
      <c r="F424" s="7" t="s">
        <v>19</v>
      </c>
      <c r="G424" s="7">
        <v>30</v>
      </c>
      <c r="H424" s="7" t="s">
        <v>66</v>
      </c>
      <c r="I424" s="7" t="s">
        <v>46</v>
      </c>
      <c r="J424" s="7" t="s">
        <v>30</v>
      </c>
      <c r="K424" s="7" t="s">
        <v>40</v>
      </c>
      <c r="L424" s="7" t="s">
        <v>32</v>
      </c>
      <c r="M424" s="7" t="s">
        <v>25</v>
      </c>
      <c r="N424" s="7">
        <v>1</v>
      </c>
      <c r="O424" s="7">
        <v>32735</v>
      </c>
      <c r="P424" s="7">
        <v>32735</v>
      </c>
      <c r="Q424" s="9">
        <v>7811.65</v>
      </c>
      <c r="R424" s="17">
        <f t="shared" si="6"/>
        <v>0.23863296166182985</v>
      </c>
    </row>
    <row r="425" spans="2:18" x14ac:dyDescent="0.3">
      <c r="B425" s="21" t="s">
        <v>898</v>
      </c>
      <c r="C425" s="11">
        <v>45397</v>
      </c>
      <c r="D425" s="10" t="s">
        <v>899</v>
      </c>
      <c r="E425" s="10" t="s">
        <v>79</v>
      </c>
      <c r="F425" s="10" t="s">
        <v>19</v>
      </c>
      <c r="G425" s="10">
        <v>44</v>
      </c>
      <c r="H425" s="10" t="s">
        <v>20</v>
      </c>
      <c r="I425" s="10" t="s">
        <v>46</v>
      </c>
      <c r="J425" s="10" t="s">
        <v>22</v>
      </c>
      <c r="K425" s="10" t="s">
        <v>69</v>
      </c>
      <c r="L425" s="10" t="s">
        <v>80</v>
      </c>
      <c r="M425" s="10" t="s">
        <v>25</v>
      </c>
      <c r="N425" s="10">
        <v>4</v>
      </c>
      <c r="O425" s="10">
        <v>17171</v>
      </c>
      <c r="P425" s="10">
        <v>68684</v>
      </c>
      <c r="Q425" s="12">
        <v>14156.92</v>
      </c>
      <c r="R425" s="17">
        <f t="shared" si="6"/>
        <v>0.20611670840370391</v>
      </c>
    </row>
    <row r="426" spans="2:18" x14ac:dyDescent="0.3">
      <c r="B426" s="20" t="s">
        <v>900</v>
      </c>
      <c r="C426" s="8">
        <v>45434</v>
      </c>
      <c r="D426" s="7" t="s">
        <v>901</v>
      </c>
      <c r="E426" s="7" t="s">
        <v>59</v>
      </c>
      <c r="F426" s="7" t="s">
        <v>37</v>
      </c>
      <c r="G426" s="7">
        <v>21</v>
      </c>
      <c r="H426" s="7" t="s">
        <v>29</v>
      </c>
      <c r="I426" s="7" t="s">
        <v>39</v>
      </c>
      <c r="J426" s="7" t="s">
        <v>30</v>
      </c>
      <c r="K426" s="7" t="s">
        <v>51</v>
      </c>
      <c r="L426" s="7" t="s">
        <v>47</v>
      </c>
      <c r="M426" s="7" t="s">
        <v>52</v>
      </c>
      <c r="N426" s="7">
        <v>3</v>
      </c>
      <c r="O426" s="7">
        <v>45398</v>
      </c>
      <c r="P426" s="7">
        <v>122574.6</v>
      </c>
      <c r="Q426" s="9">
        <v>36091.35</v>
      </c>
      <c r="R426" s="17">
        <f t="shared" si="6"/>
        <v>0.29444395494662023</v>
      </c>
    </row>
    <row r="427" spans="2:18" x14ac:dyDescent="0.3">
      <c r="B427" s="21" t="s">
        <v>902</v>
      </c>
      <c r="C427" s="11">
        <v>45521</v>
      </c>
      <c r="D427" s="10" t="s">
        <v>903</v>
      </c>
      <c r="E427" s="10" t="s">
        <v>44</v>
      </c>
      <c r="F427" s="10" t="s">
        <v>19</v>
      </c>
      <c r="G427" s="10">
        <v>21</v>
      </c>
      <c r="H427" s="10" t="s">
        <v>38</v>
      </c>
      <c r="I427" s="10" t="s">
        <v>21</v>
      </c>
      <c r="J427" s="10" t="s">
        <v>30</v>
      </c>
      <c r="K427" s="10" t="s">
        <v>51</v>
      </c>
      <c r="L427" s="10" t="s">
        <v>80</v>
      </c>
      <c r="M427" s="10" t="s">
        <v>25</v>
      </c>
      <c r="N427" s="10">
        <v>4</v>
      </c>
      <c r="O427" s="10">
        <v>19601</v>
      </c>
      <c r="P427" s="10">
        <v>70563.600000000006</v>
      </c>
      <c r="Q427" s="12">
        <v>24845.69</v>
      </c>
      <c r="R427" s="17">
        <f t="shared" si="6"/>
        <v>0.35210349245219913</v>
      </c>
    </row>
    <row r="428" spans="2:18" x14ac:dyDescent="0.3">
      <c r="B428" s="20" t="s">
        <v>904</v>
      </c>
      <c r="C428" s="8">
        <v>45405</v>
      </c>
      <c r="D428" s="7" t="s">
        <v>905</v>
      </c>
      <c r="E428" s="7" t="s">
        <v>79</v>
      </c>
      <c r="F428" s="7" t="s">
        <v>19</v>
      </c>
      <c r="G428" s="7">
        <v>29</v>
      </c>
      <c r="H428" s="7" t="s">
        <v>38</v>
      </c>
      <c r="I428" s="7" t="s">
        <v>21</v>
      </c>
      <c r="J428" s="7" t="s">
        <v>22</v>
      </c>
      <c r="K428" s="7" t="s">
        <v>51</v>
      </c>
      <c r="L428" s="7" t="s">
        <v>47</v>
      </c>
      <c r="M428" s="7" t="s">
        <v>33</v>
      </c>
      <c r="N428" s="7">
        <v>4</v>
      </c>
      <c r="O428" s="7">
        <v>9256</v>
      </c>
      <c r="P428" s="7">
        <v>29619.200000000001</v>
      </c>
      <c r="Q428" s="9">
        <v>8873.1299999999992</v>
      </c>
      <c r="R428" s="17">
        <f t="shared" si="6"/>
        <v>0.29957358740276574</v>
      </c>
    </row>
    <row r="429" spans="2:18" x14ac:dyDescent="0.3">
      <c r="B429" s="21" t="s">
        <v>906</v>
      </c>
      <c r="C429" s="11">
        <v>45342</v>
      </c>
      <c r="D429" s="10" t="s">
        <v>907</v>
      </c>
      <c r="E429" s="10" t="s">
        <v>93</v>
      </c>
      <c r="F429" s="10" t="s">
        <v>19</v>
      </c>
      <c r="G429" s="10">
        <v>28</v>
      </c>
      <c r="H429" s="10" t="s">
        <v>56</v>
      </c>
      <c r="I429" s="10" t="s">
        <v>21</v>
      </c>
      <c r="J429" s="10" t="s">
        <v>22</v>
      </c>
      <c r="K429" s="10" t="s">
        <v>40</v>
      </c>
      <c r="L429" s="10" t="s">
        <v>80</v>
      </c>
      <c r="M429" s="10" t="s">
        <v>25</v>
      </c>
      <c r="N429" s="10">
        <v>5</v>
      </c>
      <c r="O429" s="10">
        <v>28525</v>
      </c>
      <c r="P429" s="10">
        <v>128362.5</v>
      </c>
      <c r="Q429" s="12">
        <v>33860.68</v>
      </c>
      <c r="R429" s="17">
        <f t="shared" si="6"/>
        <v>0.26378950238582138</v>
      </c>
    </row>
    <row r="430" spans="2:18" x14ac:dyDescent="0.3">
      <c r="B430" s="20" t="s">
        <v>908</v>
      </c>
      <c r="C430" s="8">
        <v>45553</v>
      </c>
      <c r="D430" s="7" t="s">
        <v>909</v>
      </c>
      <c r="E430" s="7" t="s">
        <v>76</v>
      </c>
      <c r="F430" s="7" t="s">
        <v>37</v>
      </c>
      <c r="G430" s="7">
        <v>47</v>
      </c>
      <c r="H430" s="7" t="s">
        <v>20</v>
      </c>
      <c r="I430" s="7" t="s">
        <v>21</v>
      </c>
      <c r="J430" s="7" t="s">
        <v>50</v>
      </c>
      <c r="K430" s="7" t="s">
        <v>69</v>
      </c>
      <c r="L430" s="7" t="s">
        <v>47</v>
      </c>
      <c r="M430" s="7" t="s">
        <v>41</v>
      </c>
      <c r="N430" s="7">
        <v>4</v>
      </c>
      <c r="O430" s="7">
        <v>2393</v>
      </c>
      <c r="P430" s="7">
        <v>8614.7999999999993</v>
      </c>
      <c r="Q430" s="9">
        <v>2926.01</v>
      </c>
      <c r="R430" s="17">
        <f t="shared" si="6"/>
        <v>0.33964920833913737</v>
      </c>
    </row>
    <row r="431" spans="2:18" x14ac:dyDescent="0.3">
      <c r="B431" s="21" t="s">
        <v>910</v>
      </c>
      <c r="C431" s="11">
        <v>45641</v>
      </c>
      <c r="D431" s="10" t="s">
        <v>911</v>
      </c>
      <c r="E431" s="10" t="s">
        <v>55</v>
      </c>
      <c r="F431" s="10" t="s">
        <v>37</v>
      </c>
      <c r="G431" s="10">
        <v>38</v>
      </c>
      <c r="H431" s="10" t="s">
        <v>45</v>
      </c>
      <c r="I431" s="10" t="s">
        <v>39</v>
      </c>
      <c r="J431" s="10" t="s">
        <v>50</v>
      </c>
      <c r="K431" s="10" t="s">
        <v>69</v>
      </c>
      <c r="L431" s="10" t="s">
        <v>47</v>
      </c>
      <c r="M431" s="10" t="s">
        <v>52</v>
      </c>
      <c r="N431" s="10">
        <v>2</v>
      </c>
      <c r="O431" s="10">
        <v>22866</v>
      </c>
      <c r="P431" s="10">
        <v>36585.599999999999</v>
      </c>
      <c r="Q431" s="12">
        <v>7671.3</v>
      </c>
      <c r="R431" s="17">
        <f t="shared" si="6"/>
        <v>0.20968085804250855</v>
      </c>
    </row>
    <row r="432" spans="2:18" x14ac:dyDescent="0.3">
      <c r="B432" s="20" t="s">
        <v>912</v>
      </c>
      <c r="C432" s="8">
        <v>45564</v>
      </c>
      <c r="D432" s="7" t="s">
        <v>913</v>
      </c>
      <c r="E432" s="7" t="s">
        <v>59</v>
      </c>
      <c r="F432" s="7" t="s">
        <v>19</v>
      </c>
      <c r="G432" s="7">
        <v>20</v>
      </c>
      <c r="H432" s="7" t="s">
        <v>20</v>
      </c>
      <c r="I432" s="7" t="s">
        <v>46</v>
      </c>
      <c r="J432" s="7" t="s">
        <v>22</v>
      </c>
      <c r="K432" s="7" t="s">
        <v>23</v>
      </c>
      <c r="L432" s="7" t="s">
        <v>24</v>
      </c>
      <c r="M432" s="7" t="s">
        <v>33</v>
      </c>
      <c r="N432" s="7">
        <v>2</v>
      </c>
      <c r="O432" s="7">
        <v>3395</v>
      </c>
      <c r="P432" s="7">
        <v>6790</v>
      </c>
      <c r="Q432" s="9">
        <v>1259.93</v>
      </c>
      <c r="R432" s="17">
        <f t="shared" si="6"/>
        <v>0.18555670103092783</v>
      </c>
    </row>
    <row r="433" spans="2:18" x14ac:dyDescent="0.3">
      <c r="B433" s="21" t="s">
        <v>914</v>
      </c>
      <c r="C433" s="11">
        <v>45593</v>
      </c>
      <c r="D433" s="10" t="s">
        <v>915</v>
      </c>
      <c r="E433" s="10" t="s">
        <v>79</v>
      </c>
      <c r="F433" s="10" t="s">
        <v>19</v>
      </c>
      <c r="G433" s="10">
        <v>26</v>
      </c>
      <c r="H433" s="10" t="s">
        <v>29</v>
      </c>
      <c r="I433" s="10" t="s">
        <v>21</v>
      </c>
      <c r="J433" s="10" t="s">
        <v>50</v>
      </c>
      <c r="K433" s="10" t="s">
        <v>31</v>
      </c>
      <c r="L433" s="10" t="s">
        <v>32</v>
      </c>
      <c r="M433" s="10" t="s">
        <v>41</v>
      </c>
      <c r="N433" s="10">
        <v>4</v>
      </c>
      <c r="O433" s="10">
        <v>9151</v>
      </c>
      <c r="P433" s="10">
        <v>34773.800000000003</v>
      </c>
      <c r="Q433" s="12">
        <v>12506.35</v>
      </c>
      <c r="R433" s="17">
        <f t="shared" si="6"/>
        <v>0.35964864351897113</v>
      </c>
    </row>
    <row r="434" spans="2:18" x14ac:dyDescent="0.3">
      <c r="B434" s="20" t="s">
        <v>916</v>
      </c>
      <c r="C434" s="8">
        <v>45294</v>
      </c>
      <c r="D434" s="7" t="s">
        <v>917</v>
      </c>
      <c r="E434" s="7" t="s">
        <v>93</v>
      </c>
      <c r="F434" s="7" t="s">
        <v>19</v>
      </c>
      <c r="G434" s="7">
        <v>36</v>
      </c>
      <c r="H434" s="7" t="s">
        <v>56</v>
      </c>
      <c r="I434" s="7" t="s">
        <v>21</v>
      </c>
      <c r="J434" s="7" t="s">
        <v>22</v>
      </c>
      <c r="K434" s="7" t="s">
        <v>40</v>
      </c>
      <c r="L434" s="7" t="s">
        <v>32</v>
      </c>
      <c r="M434" s="7" t="s">
        <v>33</v>
      </c>
      <c r="N434" s="7">
        <v>3</v>
      </c>
      <c r="O434" s="7">
        <v>3417</v>
      </c>
      <c r="P434" s="7">
        <v>9225.9</v>
      </c>
      <c r="Q434" s="9">
        <v>3538.97</v>
      </c>
      <c r="R434" s="17">
        <f t="shared" si="6"/>
        <v>0.38359076079298499</v>
      </c>
    </row>
    <row r="435" spans="2:18" x14ac:dyDescent="0.3">
      <c r="B435" s="21" t="s">
        <v>918</v>
      </c>
      <c r="C435" s="11">
        <v>45358</v>
      </c>
      <c r="D435" s="10" t="s">
        <v>919</v>
      </c>
      <c r="E435" s="10" t="s">
        <v>59</v>
      </c>
      <c r="F435" s="10" t="s">
        <v>37</v>
      </c>
      <c r="G435" s="10">
        <v>37</v>
      </c>
      <c r="H435" s="10" t="s">
        <v>38</v>
      </c>
      <c r="I435" s="10" t="s">
        <v>21</v>
      </c>
      <c r="J435" s="10" t="s">
        <v>50</v>
      </c>
      <c r="K435" s="10" t="s">
        <v>40</v>
      </c>
      <c r="L435" s="10" t="s">
        <v>60</v>
      </c>
      <c r="M435" s="10" t="s">
        <v>25</v>
      </c>
      <c r="N435" s="10">
        <v>5</v>
      </c>
      <c r="O435" s="10">
        <v>49136</v>
      </c>
      <c r="P435" s="10">
        <v>245680</v>
      </c>
      <c r="Q435" s="12">
        <v>38207.68</v>
      </c>
      <c r="R435" s="17">
        <f t="shared" si="6"/>
        <v>0.15551807228915662</v>
      </c>
    </row>
    <row r="436" spans="2:18" x14ac:dyDescent="0.3">
      <c r="B436" s="20" t="s">
        <v>920</v>
      </c>
      <c r="C436" s="8">
        <v>45318</v>
      </c>
      <c r="D436" s="7" t="s">
        <v>921</v>
      </c>
      <c r="E436" s="7" t="s">
        <v>28</v>
      </c>
      <c r="F436" s="7" t="s">
        <v>19</v>
      </c>
      <c r="G436" s="7">
        <v>50</v>
      </c>
      <c r="H436" s="7" t="s">
        <v>38</v>
      </c>
      <c r="I436" s="7" t="s">
        <v>39</v>
      </c>
      <c r="J436" s="7" t="s">
        <v>22</v>
      </c>
      <c r="K436" s="7" t="s">
        <v>31</v>
      </c>
      <c r="L436" s="7" t="s">
        <v>60</v>
      </c>
      <c r="M436" s="7" t="s">
        <v>41</v>
      </c>
      <c r="N436" s="7">
        <v>1</v>
      </c>
      <c r="O436" s="7">
        <v>35977</v>
      </c>
      <c r="P436" s="7">
        <v>30580.45</v>
      </c>
      <c r="Q436" s="9">
        <v>4848.2700000000004</v>
      </c>
      <c r="R436" s="17">
        <f t="shared" si="6"/>
        <v>0.15854148647256663</v>
      </c>
    </row>
    <row r="437" spans="2:18" x14ac:dyDescent="0.3">
      <c r="B437" s="21" t="s">
        <v>922</v>
      </c>
      <c r="C437" s="11">
        <v>45304</v>
      </c>
      <c r="D437" s="10" t="s">
        <v>923</v>
      </c>
      <c r="E437" s="10" t="s">
        <v>65</v>
      </c>
      <c r="F437" s="10" t="s">
        <v>19</v>
      </c>
      <c r="G437" s="10">
        <v>57</v>
      </c>
      <c r="H437" s="10" t="s">
        <v>66</v>
      </c>
      <c r="I437" s="10" t="s">
        <v>39</v>
      </c>
      <c r="J437" s="10" t="s">
        <v>50</v>
      </c>
      <c r="K437" s="10" t="s">
        <v>23</v>
      </c>
      <c r="L437" s="10" t="s">
        <v>60</v>
      </c>
      <c r="M437" s="10" t="s">
        <v>33</v>
      </c>
      <c r="N437" s="10">
        <v>1</v>
      </c>
      <c r="O437" s="10">
        <v>31975</v>
      </c>
      <c r="P437" s="10">
        <v>28777.5</v>
      </c>
      <c r="Q437" s="12">
        <v>8118.66</v>
      </c>
      <c r="R437" s="17">
        <f t="shared" si="6"/>
        <v>0.28211832160542089</v>
      </c>
    </row>
    <row r="438" spans="2:18" x14ac:dyDescent="0.3">
      <c r="B438" s="20" t="s">
        <v>924</v>
      </c>
      <c r="C438" s="8">
        <v>45375</v>
      </c>
      <c r="D438" s="7" t="s">
        <v>925</v>
      </c>
      <c r="E438" s="7" t="s">
        <v>93</v>
      </c>
      <c r="F438" s="7" t="s">
        <v>19</v>
      </c>
      <c r="G438" s="7">
        <v>33</v>
      </c>
      <c r="H438" s="7" t="s">
        <v>38</v>
      </c>
      <c r="I438" s="7" t="s">
        <v>21</v>
      </c>
      <c r="J438" s="7" t="s">
        <v>30</v>
      </c>
      <c r="K438" s="7" t="s">
        <v>40</v>
      </c>
      <c r="L438" s="7" t="s">
        <v>47</v>
      </c>
      <c r="M438" s="7" t="s">
        <v>25</v>
      </c>
      <c r="N438" s="7">
        <v>2</v>
      </c>
      <c r="O438" s="7">
        <v>5070</v>
      </c>
      <c r="P438" s="7">
        <v>8112</v>
      </c>
      <c r="Q438" s="9">
        <v>2954.74</v>
      </c>
      <c r="R438" s="17">
        <f t="shared" si="6"/>
        <v>0.36424309664694277</v>
      </c>
    </row>
    <row r="439" spans="2:18" x14ac:dyDescent="0.3">
      <c r="B439" s="21" t="s">
        <v>926</v>
      </c>
      <c r="C439" s="11">
        <v>45368</v>
      </c>
      <c r="D439" s="10" t="s">
        <v>927</v>
      </c>
      <c r="E439" s="10" t="s">
        <v>79</v>
      </c>
      <c r="F439" s="10" t="s">
        <v>37</v>
      </c>
      <c r="G439" s="10">
        <v>23</v>
      </c>
      <c r="H439" s="10" t="s">
        <v>56</v>
      </c>
      <c r="I439" s="10" t="s">
        <v>39</v>
      </c>
      <c r="J439" s="10" t="s">
        <v>22</v>
      </c>
      <c r="K439" s="10" t="s">
        <v>40</v>
      </c>
      <c r="L439" s="10" t="s">
        <v>32</v>
      </c>
      <c r="M439" s="10" t="s">
        <v>41</v>
      </c>
      <c r="N439" s="10">
        <v>4</v>
      </c>
      <c r="O439" s="10">
        <v>12344</v>
      </c>
      <c r="P439" s="10">
        <v>39500.800000000003</v>
      </c>
      <c r="Q439" s="12">
        <v>7975.35</v>
      </c>
      <c r="R439" s="17">
        <f t="shared" si="6"/>
        <v>0.20190350575178223</v>
      </c>
    </row>
    <row r="440" spans="2:18" x14ac:dyDescent="0.3">
      <c r="B440" s="20" t="s">
        <v>928</v>
      </c>
      <c r="C440" s="8">
        <v>45495</v>
      </c>
      <c r="D440" s="7" t="s">
        <v>929</v>
      </c>
      <c r="E440" s="7" t="s">
        <v>76</v>
      </c>
      <c r="F440" s="7" t="s">
        <v>19</v>
      </c>
      <c r="G440" s="7">
        <v>57</v>
      </c>
      <c r="H440" s="7" t="s">
        <v>38</v>
      </c>
      <c r="I440" s="7" t="s">
        <v>46</v>
      </c>
      <c r="J440" s="7" t="s">
        <v>22</v>
      </c>
      <c r="K440" s="7" t="s">
        <v>51</v>
      </c>
      <c r="L440" s="7" t="s">
        <v>80</v>
      </c>
      <c r="M440" s="7" t="s">
        <v>25</v>
      </c>
      <c r="N440" s="7">
        <v>5</v>
      </c>
      <c r="O440" s="7">
        <v>8900</v>
      </c>
      <c r="P440" s="7">
        <v>37825</v>
      </c>
      <c r="Q440" s="9">
        <v>8117.83</v>
      </c>
      <c r="R440" s="17">
        <f t="shared" si="6"/>
        <v>0.21461546596166556</v>
      </c>
    </row>
    <row r="441" spans="2:18" x14ac:dyDescent="0.3">
      <c r="B441" s="21" t="s">
        <v>930</v>
      </c>
      <c r="C441" s="11">
        <v>45377</v>
      </c>
      <c r="D441" s="10" t="s">
        <v>931</v>
      </c>
      <c r="E441" s="10" t="s">
        <v>44</v>
      </c>
      <c r="F441" s="10" t="s">
        <v>37</v>
      </c>
      <c r="G441" s="10">
        <v>49</v>
      </c>
      <c r="H441" s="10" t="s">
        <v>20</v>
      </c>
      <c r="I441" s="10" t="s">
        <v>21</v>
      </c>
      <c r="J441" s="10" t="s">
        <v>30</v>
      </c>
      <c r="K441" s="10" t="s">
        <v>40</v>
      </c>
      <c r="L441" s="10" t="s">
        <v>24</v>
      </c>
      <c r="M441" s="10" t="s">
        <v>41</v>
      </c>
      <c r="N441" s="10">
        <v>3</v>
      </c>
      <c r="O441" s="10">
        <v>48394</v>
      </c>
      <c r="P441" s="10">
        <v>137922.9</v>
      </c>
      <c r="Q441" s="12">
        <v>53567.73</v>
      </c>
      <c r="R441" s="17">
        <f t="shared" si="6"/>
        <v>0.38838894773819288</v>
      </c>
    </row>
    <row r="442" spans="2:18" x14ac:dyDescent="0.3">
      <c r="B442" s="20" t="s">
        <v>932</v>
      </c>
      <c r="C442" s="8">
        <v>45570</v>
      </c>
      <c r="D442" s="7" t="s">
        <v>933</v>
      </c>
      <c r="E442" s="7" t="s">
        <v>18</v>
      </c>
      <c r="F442" s="7" t="s">
        <v>37</v>
      </c>
      <c r="G442" s="7">
        <v>60</v>
      </c>
      <c r="H442" s="7" t="s">
        <v>66</v>
      </c>
      <c r="I442" s="7" t="s">
        <v>21</v>
      </c>
      <c r="J442" s="7" t="s">
        <v>22</v>
      </c>
      <c r="K442" s="7" t="s">
        <v>23</v>
      </c>
      <c r="L442" s="7" t="s">
        <v>24</v>
      </c>
      <c r="M442" s="7" t="s">
        <v>52</v>
      </c>
      <c r="N442" s="7">
        <v>3</v>
      </c>
      <c r="O442" s="7">
        <v>40634</v>
      </c>
      <c r="P442" s="7">
        <v>97521.600000000006</v>
      </c>
      <c r="Q442" s="9">
        <v>37245.06</v>
      </c>
      <c r="R442" s="17">
        <f t="shared" si="6"/>
        <v>0.38191600630014272</v>
      </c>
    </row>
    <row r="443" spans="2:18" x14ac:dyDescent="0.3">
      <c r="B443" s="21" t="s">
        <v>934</v>
      </c>
      <c r="C443" s="11">
        <v>45409</v>
      </c>
      <c r="D443" s="10" t="s">
        <v>935</v>
      </c>
      <c r="E443" s="10" t="s">
        <v>93</v>
      </c>
      <c r="F443" s="10" t="s">
        <v>19</v>
      </c>
      <c r="G443" s="10">
        <v>47</v>
      </c>
      <c r="H443" s="10" t="s">
        <v>45</v>
      </c>
      <c r="I443" s="10" t="s">
        <v>21</v>
      </c>
      <c r="J443" s="10" t="s">
        <v>50</v>
      </c>
      <c r="K443" s="10" t="s">
        <v>51</v>
      </c>
      <c r="L443" s="10" t="s">
        <v>24</v>
      </c>
      <c r="M443" s="10" t="s">
        <v>25</v>
      </c>
      <c r="N443" s="10">
        <v>3</v>
      </c>
      <c r="O443" s="10">
        <v>14720</v>
      </c>
      <c r="P443" s="10">
        <v>44160</v>
      </c>
      <c r="Q443" s="12">
        <v>7914.57</v>
      </c>
      <c r="R443" s="17">
        <f t="shared" si="6"/>
        <v>0.17922486413043479</v>
      </c>
    </row>
    <row r="444" spans="2:18" x14ac:dyDescent="0.3">
      <c r="B444" s="20" t="s">
        <v>936</v>
      </c>
      <c r="C444" s="8">
        <v>45316</v>
      </c>
      <c r="D444" s="7" t="s">
        <v>937</v>
      </c>
      <c r="E444" s="7" t="s">
        <v>79</v>
      </c>
      <c r="F444" s="7" t="s">
        <v>19</v>
      </c>
      <c r="G444" s="7">
        <v>47</v>
      </c>
      <c r="H444" s="7" t="s">
        <v>38</v>
      </c>
      <c r="I444" s="7" t="s">
        <v>46</v>
      </c>
      <c r="J444" s="7" t="s">
        <v>22</v>
      </c>
      <c r="K444" s="7" t="s">
        <v>40</v>
      </c>
      <c r="L444" s="7" t="s">
        <v>80</v>
      </c>
      <c r="M444" s="7" t="s">
        <v>52</v>
      </c>
      <c r="N444" s="7">
        <v>2</v>
      </c>
      <c r="O444" s="7">
        <v>19947</v>
      </c>
      <c r="P444" s="7">
        <v>37899.300000000003</v>
      </c>
      <c r="Q444" s="9">
        <v>10116.379999999999</v>
      </c>
      <c r="R444" s="17">
        <f t="shared" si="6"/>
        <v>0.26692788521160016</v>
      </c>
    </row>
    <row r="445" spans="2:18" x14ac:dyDescent="0.3">
      <c r="B445" s="21" t="s">
        <v>938</v>
      </c>
      <c r="C445" s="11">
        <v>45621</v>
      </c>
      <c r="D445" s="10" t="s">
        <v>939</v>
      </c>
      <c r="E445" s="10" t="s">
        <v>28</v>
      </c>
      <c r="F445" s="10" t="s">
        <v>19</v>
      </c>
      <c r="G445" s="10">
        <v>33</v>
      </c>
      <c r="H445" s="10" t="s">
        <v>45</v>
      </c>
      <c r="I445" s="10" t="s">
        <v>21</v>
      </c>
      <c r="J445" s="10" t="s">
        <v>50</v>
      </c>
      <c r="K445" s="10" t="s">
        <v>23</v>
      </c>
      <c r="L445" s="10" t="s">
        <v>24</v>
      </c>
      <c r="M445" s="10" t="s">
        <v>25</v>
      </c>
      <c r="N445" s="10">
        <v>1</v>
      </c>
      <c r="O445" s="10">
        <v>2089</v>
      </c>
      <c r="P445" s="10">
        <v>2089</v>
      </c>
      <c r="Q445" s="12">
        <v>517.16999999999996</v>
      </c>
      <c r="R445" s="17">
        <f t="shared" si="6"/>
        <v>0.24756821445667782</v>
      </c>
    </row>
    <row r="446" spans="2:18" x14ac:dyDescent="0.3">
      <c r="B446" s="20" t="s">
        <v>940</v>
      </c>
      <c r="C446" s="8">
        <v>45319</v>
      </c>
      <c r="D446" s="7" t="s">
        <v>941</v>
      </c>
      <c r="E446" s="7" t="s">
        <v>65</v>
      </c>
      <c r="F446" s="7" t="s">
        <v>37</v>
      </c>
      <c r="G446" s="7">
        <v>45</v>
      </c>
      <c r="H446" s="7" t="s">
        <v>29</v>
      </c>
      <c r="I446" s="7" t="s">
        <v>46</v>
      </c>
      <c r="J446" s="7" t="s">
        <v>30</v>
      </c>
      <c r="K446" s="7" t="s">
        <v>40</v>
      </c>
      <c r="L446" s="7" t="s">
        <v>80</v>
      </c>
      <c r="M446" s="7" t="s">
        <v>41</v>
      </c>
      <c r="N446" s="7">
        <v>4</v>
      </c>
      <c r="O446" s="7">
        <v>3478</v>
      </c>
      <c r="P446" s="7">
        <v>12520.8</v>
      </c>
      <c r="Q446" s="9">
        <v>4401.51</v>
      </c>
      <c r="R446" s="17">
        <f t="shared" si="6"/>
        <v>0.35153584435499335</v>
      </c>
    </row>
    <row r="447" spans="2:18" x14ac:dyDescent="0.3">
      <c r="B447" s="21" t="s">
        <v>942</v>
      </c>
      <c r="C447" s="11">
        <v>45465</v>
      </c>
      <c r="D447" s="10" t="s">
        <v>943</v>
      </c>
      <c r="E447" s="10" t="s">
        <v>18</v>
      </c>
      <c r="F447" s="10" t="s">
        <v>19</v>
      </c>
      <c r="G447" s="10">
        <v>60</v>
      </c>
      <c r="H447" s="10" t="s">
        <v>66</v>
      </c>
      <c r="I447" s="10" t="s">
        <v>21</v>
      </c>
      <c r="J447" s="10" t="s">
        <v>50</v>
      </c>
      <c r="K447" s="10" t="s">
        <v>51</v>
      </c>
      <c r="L447" s="10" t="s">
        <v>80</v>
      </c>
      <c r="M447" s="10" t="s">
        <v>25</v>
      </c>
      <c r="N447" s="10">
        <v>5</v>
      </c>
      <c r="O447" s="10">
        <v>48930</v>
      </c>
      <c r="P447" s="10">
        <v>232417.5</v>
      </c>
      <c r="Q447" s="12">
        <v>42837.39</v>
      </c>
      <c r="R447" s="17">
        <f t="shared" si="6"/>
        <v>0.1843122398270354</v>
      </c>
    </row>
    <row r="448" spans="2:18" x14ac:dyDescent="0.3">
      <c r="B448" s="20" t="s">
        <v>944</v>
      </c>
      <c r="C448" s="8">
        <v>45434</v>
      </c>
      <c r="D448" s="7" t="s">
        <v>945</v>
      </c>
      <c r="E448" s="7" t="s">
        <v>65</v>
      </c>
      <c r="F448" s="7" t="s">
        <v>37</v>
      </c>
      <c r="G448" s="7">
        <v>55</v>
      </c>
      <c r="H448" s="7" t="s">
        <v>45</v>
      </c>
      <c r="I448" s="7" t="s">
        <v>21</v>
      </c>
      <c r="J448" s="7" t="s">
        <v>30</v>
      </c>
      <c r="K448" s="7" t="s">
        <v>69</v>
      </c>
      <c r="L448" s="7" t="s">
        <v>24</v>
      </c>
      <c r="M448" s="7" t="s">
        <v>52</v>
      </c>
      <c r="N448" s="7">
        <v>3</v>
      </c>
      <c r="O448" s="7">
        <v>41756</v>
      </c>
      <c r="P448" s="7">
        <v>100214.39999999999</v>
      </c>
      <c r="Q448" s="9">
        <v>25731.3</v>
      </c>
      <c r="R448" s="17">
        <f t="shared" si="6"/>
        <v>0.25676250119743271</v>
      </c>
    </row>
    <row r="449" spans="2:18" x14ac:dyDescent="0.3">
      <c r="B449" s="21" t="s">
        <v>946</v>
      </c>
      <c r="C449" s="11">
        <v>45476</v>
      </c>
      <c r="D449" s="10" t="s">
        <v>947</v>
      </c>
      <c r="E449" s="10" t="s">
        <v>59</v>
      </c>
      <c r="F449" s="10" t="s">
        <v>19</v>
      </c>
      <c r="G449" s="10">
        <v>54</v>
      </c>
      <c r="H449" s="10" t="s">
        <v>66</v>
      </c>
      <c r="I449" s="10" t="s">
        <v>21</v>
      </c>
      <c r="J449" s="10" t="s">
        <v>22</v>
      </c>
      <c r="K449" s="10" t="s">
        <v>23</v>
      </c>
      <c r="L449" s="10" t="s">
        <v>47</v>
      </c>
      <c r="M449" s="10" t="s">
        <v>33</v>
      </c>
      <c r="N449" s="10">
        <v>4</v>
      </c>
      <c r="O449" s="10">
        <v>17789</v>
      </c>
      <c r="P449" s="10">
        <v>60482.6</v>
      </c>
      <c r="Q449" s="12">
        <v>11864.48</v>
      </c>
      <c r="R449" s="17">
        <f t="shared" si="6"/>
        <v>0.19616352471619936</v>
      </c>
    </row>
    <row r="450" spans="2:18" x14ac:dyDescent="0.3">
      <c r="B450" s="20" t="s">
        <v>948</v>
      </c>
      <c r="C450" s="8">
        <v>45446</v>
      </c>
      <c r="D450" s="7" t="s">
        <v>949</v>
      </c>
      <c r="E450" s="7" t="s">
        <v>79</v>
      </c>
      <c r="F450" s="7" t="s">
        <v>19</v>
      </c>
      <c r="G450" s="7">
        <v>19</v>
      </c>
      <c r="H450" s="7" t="s">
        <v>20</v>
      </c>
      <c r="I450" s="7" t="s">
        <v>21</v>
      </c>
      <c r="J450" s="7" t="s">
        <v>50</v>
      </c>
      <c r="K450" s="7" t="s">
        <v>40</v>
      </c>
      <c r="L450" s="7" t="s">
        <v>80</v>
      </c>
      <c r="M450" s="7" t="s">
        <v>52</v>
      </c>
      <c r="N450" s="7">
        <v>4</v>
      </c>
      <c r="O450" s="7">
        <v>31723</v>
      </c>
      <c r="P450" s="7">
        <v>120547.4</v>
      </c>
      <c r="Q450" s="9">
        <v>43213.59</v>
      </c>
      <c r="R450" s="17">
        <f t="shared" si="6"/>
        <v>0.3584779928891042</v>
      </c>
    </row>
    <row r="451" spans="2:18" x14ac:dyDescent="0.3">
      <c r="B451" s="21" t="s">
        <v>950</v>
      </c>
      <c r="C451" s="11">
        <v>45370</v>
      </c>
      <c r="D451" s="10" t="s">
        <v>951</v>
      </c>
      <c r="E451" s="10" t="s">
        <v>93</v>
      </c>
      <c r="F451" s="10" t="s">
        <v>19</v>
      </c>
      <c r="G451" s="10">
        <v>27</v>
      </c>
      <c r="H451" s="10" t="s">
        <v>29</v>
      </c>
      <c r="I451" s="10" t="s">
        <v>46</v>
      </c>
      <c r="J451" s="10" t="s">
        <v>30</v>
      </c>
      <c r="K451" s="10" t="s">
        <v>40</v>
      </c>
      <c r="L451" s="10" t="s">
        <v>80</v>
      </c>
      <c r="M451" s="10" t="s">
        <v>41</v>
      </c>
      <c r="N451" s="10">
        <v>1</v>
      </c>
      <c r="O451" s="10">
        <v>27903</v>
      </c>
      <c r="P451" s="10">
        <v>27903</v>
      </c>
      <c r="Q451" s="12">
        <v>5157.2700000000004</v>
      </c>
      <c r="R451" s="17">
        <f t="shared" si="6"/>
        <v>0.18482851306311152</v>
      </c>
    </row>
    <row r="452" spans="2:18" x14ac:dyDescent="0.3">
      <c r="B452" s="20" t="s">
        <v>952</v>
      </c>
      <c r="C452" s="8">
        <v>45482</v>
      </c>
      <c r="D452" s="7" t="s">
        <v>953</v>
      </c>
      <c r="E452" s="7" t="s">
        <v>79</v>
      </c>
      <c r="F452" s="7" t="s">
        <v>19</v>
      </c>
      <c r="G452" s="7">
        <v>55</v>
      </c>
      <c r="H452" s="7" t="s">
        <v>45</v>
      </c>
      <c r="I452" s="7" t="s">
        <v>21</v>
      </c>
      <c r="J452" s="7" t="s">
        <v>30</v>
      </c>
      <c r="K452" s="7" t="s">
        <v>40</v>
      </c>
      <c r="L452" s="7" t="s">
        <v>60</v>
      </c>
      <c r="M452" s="7" t="s">
        <v>41</v>
      </c>
      <c r="N452" s="7">
        <v>2</v>
      </c>
      <c r="O452" s="7">
        <v>45073</v>
      </c>
      <c r="P452" s="7">
        <v>85638.7</v>
      </c>
      <c r="Q452" s="9">
        <v>13291.93</v>
      </c>
      <c r="R452" s="17">
        <f t="shared" ref="R452:R515" si="7">Q452/P452</f>
        <v>0.15520938547642596</v>
      </c>
    </row>
    <row r="453" spans="2:18" x14ac:dyDescent="0.3">
      <c r="B453" s="21" t="s">
        <v>954</v>
      </c>
      <c r="C453" s="11">
        <v>45322</v>
      </c>
      <c r="D453" s="10" t="s">
        <v>955</v>
      </c>
      <c r="E453" s="10" t="s">
        <v>93</v>
      </c>
      <c r="F453" s="10" t="s">
        <v>19</v>
      </c>
      <c r="G453" s="10">
        <v>34</v>
      </c>
      <c r="H453" s="10" t="s">
        <v>45</v>
      </c>
      <c r="I453" s="10" t="s">
        <v>39</v>
      </c>
      <c r="J453" s="10" t="s">
        <v>50</v>
      </c>
      <c r="K453" s="10" t="s">
        <v>31</v>
      </c>
      <c r="L453" s="10" t="s">
        <v>60</v>
      </c>
      <c r="M453" s="10" t="s">
        <v>41</v>
      </c>
      <c r="N453" s="10">
        <v>3</v>
      </c>
      <c r="O453" s="10">
        <v>22535</v>
      </c>
      <c r="P453" s="10">
        <v>67605</v>
      </c>
      <c r="Q453" s="12">
        <v>11534.24</v>
      </c>
      <c r="R453" s="17">
        <f t="shared" si="7"/>
        <v>0.17061223282301605</v>
      </c>
    </row>
    <row r="454" spans="2:18" x14ac:dyDescent="0.3">
      <c r="B454" s="20" t="s">
        <v>956</v>
      </c>
      <c r="C454" s="8">
        <v>45415</v>
      </c>
      <c r="D454" s="7" t="s">
        <v>957</v>
      </c>
      <c r="E454" s="7" t="s">
        <v>59</v>
      </c>
      <c r="F454" s="7" t="s">
        <v>19</v>
      </c>
      <c r="G454" s="7">
        <v>60</v>
      </c>
      <c r="H454" s="7" t="s">
        <v>29</v>
      </c>
      <c r="I454" s="7" t="s">
        <v>21</v>
      </c>
      <c r="J454" s="7" t="s">
        <v>22</v>
      </c>
      <c r="K454" s="7" t="s">
        <v>31</v>
      </c>
      <c r="L454" s="7" t="s">
        <v>24</v>
      </c>
      <c r="M454" s="7" t="s">
        <v>33</v>
      </c>
      <c r="N454" s="7">
        <v>2</v>
      </c>
      <c r="O454" s="7">
        <v>35783</v>
      </c>
      <c r="P454" s="7">
        <v>71566</v>
      </c>
      <c r="Q454" s="9">
        <v>19539.68</v>
      </c>
      <c r="R454" s="17">
        <f t="shared" si="7"/>
        <v>0.27303020987619819</v>
      </c>
    </row>
    <row r="455" spans="2:18" x14ac:dyDescent="0.3">
      <c r="B455" s="21" t="s">
        <v>958</v>
      </c>
      <c r="C455" s="11">
        <v>45450</v>
      </c>
      <c r="D455" s="10" t="s">
        <v>959</v>
      </c>
      <c r="E455" s="10" t="s">
        <v>36</v>
      </c>
      <c r="F455" s="10" t="s">
        <v>19</v>
      </c>
      <c r="G455" s="10">
        <v>42</v>
      </c>
      <c r="H455" s="10" t="s">
        <v>20</v>
      </c>
      <c r="I455" s="10" t="s">
        <v>39</v>
      </c>
      <c r="J455" s="10" t="s">
        <v>22</v>
      </c>
      <c r="K455" s="10" t="s">
        <v>40</v>
      </c>
      <c r="L455" s="10" t="s">
        <v>24</v>
      </c>
      <c r="M455" s="10" t="s">
        <v>52</v>
      </c>
      <c r="N455" s="10">
        <v>1</v>
      </c>
      <c r="O455" s="10">
        <v>21701</v>
      </c>
      <c r="P455" s="10">
        <v>18445.849999999999</v>
      </c>
      <c r="Q455" s="12">
        <v>5571.79</v>
      </c>
      <c r="R455" s="17">
        <f t="shared" si="7"/>
        <v>0.30206198142129531</v>
      </c>
    </row>
    <row r="456" spans="2:18" x14ac:dyDescent="0.3">
      <c r="B456" s="20" t="s">
        <v>960</v>
      </c>
      <c r="C456" s="8">
        <v>45399</v>
      </c>
      <c r="D456" s="7" t="s">
        <v>961</v>
      </c>
      <c r="E456" s="7" t="s">
        <v>28</v>
      </c>
      <c r="F456" s="7" t="s">
        <v>19</v>
      </c>
      <c r="G456" s="7">
        <v>40</v>
      </c>
      <c r="H456" s="7" t="s">
        <v>20</v>
      </c>
      <c r="I456" s="7" t="s">
        <v>21</v>
      </c>
      <c r="J456" s="7" t="s">
        <v>30</v>
      </c>
      <c r="K456" s="7" t="s">
        <v>40</v>
      </c>
      <c r="L456" s="7" t="s">
        <v>24</v>
      </c>
      <c r="M456" s="7" t="s">
        <v>33</v>
      </c>
      <c r="N456" s="7">
        <v>4</v>
      </c>
      <c r="O456" s="7">
        <v>32848</v>
      </c>
      <c r="P456" s="7">
        <v>124822.39999999999</v>
      </c>
      <c r="Q456" s="9">
        <v>34622.379999999997</v>
      </c>
      <c r="R456" s="17">
        <f t="shared" si="7"/>
        <v>0.27737313174558414</v>
      </c>
    </row>
    <row r="457" spans="2:18" x14ac:dyDescent="0.3">
      <c r="B457" s="21" t="s">
        <v>962</v>
      </c>
      <c r="C457" s="11">
        <v>45394</v>
      </c>
      <c r="D457" s="10" t="s">
        <v>963</v>
      </c>
      <c r="E457" s="10" t="s">
        <v>93</v>
      </c>
      <c r="F457" s="10" t="s">
        <v>19</v>
      </c>
      <c r="G457" s="10">
        <v>31</v>
      </c>
      <c r="H457" s="10" t="s">
        <v>66</v>
      </c>
      <c r="I457" s="10" t="s">
        <v>21</v>
      </c>
      <c r="J457" s="10" t="s">
        <v>22</v>
      </c>
      <c r="K457" s="10" t="s">
        <v>40</v>
      </c>
      <c r="L457" s="10" t="s">
        <v>32</v>
      </c>
      <c r="M457" s="10" t="s">
        <v>41</v>
      </c>
      <c r="N457" s="10">
        <v>1</v>
      </c>
      <c r="O457" s="10">
        <v>30441</v>
      </c>
      <c r="P457" s="10">
        <v>25874.85</v>
      </c>
      <c r="Q457" s="12">
        <v>5479.01</v>
      </c>
      <c r="R457" s="17">
        <f t="shared" si="7"/>
        <v>0.21175040628254851</v>
      </c>
    </row>
    <row r="458" spans="2:18" x14ac:dyDescent="0.3">
      <c r="B458" s="20" t="s">
        <v>964</v>
      </c>
      <c r="C458" s="8">
        <v>45579</v>
      </c>
      <c r="D458" s="7" t="s">
        <v>965</v>
      </c>
      <c r="E458" s="7" t="s">
        <v>65</v>
      </c>
      <c r="F458" s="7" t="s">
        <v>37</v>
      </c>
      <c r="G458" s="7">
        <v>44</v>
      </c>
      <c r="H458" s="7" t="s">
        <v>38</v>
      </c>
      <c r="I458" s="7" t="s">
        <v>21</v>
      </c>
      <c r="J458" s="7" t="s">
        <v>50</v>
      </c>
      <c r="K458" s="7" t="s">
        <v>23</v>
      </c>
      <c r="L458" s="7" t="s">
        <v>32</v>
      </c>
      <c r="M458" s="7" t="s">
        <v>52</v>
      </c>
      <c r="N458" s="7">
        <v>1</v>
      </c>
      <c r="O458" s="7">
        <v>28414</v>
      </c>
      <c r="P458" s="7">
        <v>28414</v>
      </c>
      <c r="Q458" s="9">
        <v>9772.8799999999992</v>
      </c>
      <c r="R458" s="17">
        <f t="shared" si="7"/>
        <v>0.34394594214119795</v>
      </c>
    </row>
    <row r="459" spans="2:18" x14ac:dyDescent="0.3">
      <c r="B459" s="21" t="s">
        <v>966</v>
      </c>
      <c r="C459" s="11">
        <v>45499</v>
      </c>
      <c r="D459" s="10" t="s">
        <v>967</v>
      </c>
      <c r="E459" s="10" t="s">
        <v>28</v>
      </c>
      <c r="F459" s="10" t="s">
        <v>19</v>
      </c>
      <c r="G459" s="10">
        <v>52</v>
      </c>
      <c r="H459" s="10" t="s">
        <v>38</v>
      </c>
      <c r="I459" s="10" t="s">
        <v>21</v>
      </c>
      <c r="J459" s="10" t="s">
        <v>30</v>
      </c>
      <c r="K459" s="10" t="s">
        <v>69</v>
      </c>
      <c r="L459" s="10" t="s">
        <v>32</v>
      </c>
      <c r="M459" s="10" t="s">
        <v>25</v>
      </c>
      <c r="N459" s="10">
        <v>4</v>
      </c>
      <c r="O459" s="10">
        <v>2319</v>
      </c>
      <c r="P459" s="10">
        <v>8812.2000000000007</v>
      </c>
      <c r="Q459" s="12">
        <v>2549.46</v>
      </c>
      <c r="R459" s="17">
        <f t="shared" si="7"/>
        <v>0.28931027439231971</v>
      </c>
    </row>
    <row r="460" spans="2:18" x14ac:dyDescent="0.3">
      <c r="B460" s="20" t="s">
        <v>968</v>
      </c>
      <c r="C460" s="8">
        <v>45411</v>
      </c>
      <c r="D460" s="7" t="s">
        <v>969</v>
      </c>
      <c r="E460" s="7" t="s">
        <v>44</v>
      </c>
      <c r="F460" s="7" t="s">
        <v>19</v>
      </c>
      <c r="G460" s="7">
        <v>19</v>
      </c>
      <c r="H460" s="7" t="s">
        <v>45</v>
      </c>
      <c r="I460" s="7" t="s">
        <v>39</v>
      </c>
      <c r="J460" s="7" t="s">
        <v>22</v>
      </c>
      <c r="K460" s="7" t="s">
        <v>23</v>
      </c>
      <c r="L460" s="7" t="s">
        <v>47</v>
      </c>
      <c r="M460" s="7" t="s">
        <v>52</v>
      </c>
      <c r="N460" s="7">
        <v>5</v>
      </c>
      <c r="O460" s="7">
        <v>7949</v>
      </c>
      <c r="P460" s="7">
        <v>37757.75</v>
      </c>
      <c r="Q460" s="9">
        <v>10797.65</v>
      </c>
      <c r="R460" s="17">
        <f t="shared" si="7"/>
        <v>0.28597175414318915</v>
      </c>
    </row>
    <row r="461" spans="2:18" x14ac:dyDescent="0.3">
      <c r="B461" s="21" t="s">
        <v>970</v>
      </c>
      <c r="C461" s="11">
        <v>45465</v>
      </c>
      <c r="D461" s="10" t="s">
        <v>971</v>
      </c>
      <c r="E461" s="10" t="s">
        <v>93</v>
      </c>
      <c r="F461" s="10" t="s">
        <v>19</v>
      </c>
      <c r="G461" s="10">
        <v>54</v>
      </c>
      <c r="H461" s="10" t="s">
        <v>66</v>
      </c>
      <c r="I461" s="10" t="s">
        <v>39</v>
      </c>
      <c r="J461" s="10" t="s">
        <v>50</v>
      </c>
      <c r="K461" s="10" t="s">
        <v>51</v>
      </c>
      <c r="L461" s="10" t="s">
        <v>47</v>
      </c>
      <c r="M461" s="10" t="s">
        <v>25</v>
      </c>
      <c r="N461" s="10">
        <v>1</v>
      </c>
      <c r="O461" s="10">
        <v>6635</v>
      </c>
      <c r="P461" s="10">
        <v>5639.75</v>
      </c>
      <c r="Q461" s="12">
        <v>1815.15</v>
      </c>
      <c r="R461" s="17">
        <f t="shared" si="7"/>
        <v>0.3218493727558846</v>
      </c>
    </row>
    <row r="462" spans="2:18" x14ac:dyDescent="0.3">
      <c r="B462" s="20" t="s">
        <v>972</v>
      </c>
      <c r="C462" s="8">
        <v>45424</v>
      </c>
      <c r="D462" s="7" t="s">
        <v>973</v>
      </c>
      <c r="E462" s="7" t="s">
        <v>65</v>
      </c>
      <c r="F462" s="7" t="s">
        <v>19</v>
      </c>
      <c r="G462" s="7">
        <v>56</v>
      </c>
      <c r="H462" s="7" t="s">
        <v>20</v>
      </c>
      <c r="I462" s="7" t="s">
        <v>21</v>
      </c>
      <c r="J462" s="7" t="s">
        <v>22</v>
      </c>
      <c r="K462" s="7" t="s">
        <v>23</v>
      </c>
      <c r="L462" s="7" t="s">
        <v>47</v>
      </c>
      <c r="M462" s="7" t="s">
        <v>33</v>
      </c>
      <c r="N462" s="7">
        <v>2</v>
      </c>
      <c r="O462" s="7">
        <v>46384</v>
      </c>
      <c r="P462" s="7">
        <v>92768</v>
      </c>
      <c r="Q462" s="9">
        <v>18961.05</v>
      </c>
      <c r="R462" s="17">
        <f t="shared" si="7"/>
        <v>0.20439213953087271</v>
      </c>
    </row>
    <row r="463" spans="2:18" x14ac:dyDescent="0.3">
      <c r="B463" s="21" t="s">
        <v>974</v>
      </c>
      <c r="C463" s="11">
        <v>45580</v>
      </c>
      <c r="D463" s="10" t="s">
        <v>975</v>
      </c>
      <c r="E463" s="10" t="s">
        <v>55</v>
      </c>
      <c r="F463" s="10" t="s">
        <v>37</v>
      </c>
      <c r="G463" s="10">
        <v>20</v>
      </c>
      <c r="H463" s="10" t="s">
        <v>38</v>
      </c>
      <c r="I463" s="10" t="s">
        <v>21</v>
      </c>
      <c r="J463" s="10" t="s">
        <v>50</v>
      </c>
      <c r="K463" s="10" t="s">
        <v>23</v>
      </c>
      <c r="L463" s="10" t="s">
        <v>24</v>
      </c>
      <c r="M463" s="10" t="s">
        <v>33</v>
      </c>
      <c r="N463" s="10">
        <v>5</v>
      </c>
      <c r="O463" s="10">
        <v>3305</v>
      </c>
      <c r="P463" s="10">
        <v>13220</v>
      </c>
      <c r="Q463" s="12">
        <v>2134.3000000000002</v>
      </c>
      <c r="R463" s="17">
        <f t="shared" si="7"/>
        <v>0.16144478063540091</v>
      </c>
    </row>
    <row r="464" spans="2:18" x14ac:dyDescent="0.3">
      <c r="B464" s="20" t="s">
        <v>976</v>
      </c>
      <c r="C464" s="8">
        <v>45493</v>
      </c>
      <c r="D464" s="7" t="s">
        <v>977</v>
      </c>
      <c r="E464" s="7" t="s">
        <v>44</v>
      </c>
      <c r="F464" s="7" t="s">
        <v>37</v>
      </c>
      <c r="G464" s="7">
        <v>23</v>
      </c>
      <c r="H464" s="7" t="s">
        <v>38</v>
      </c>
      <c r="I464" s="7" t="s">
        <v>21</v>
      </c>
      <c r="J464" s="7" t="s">
        <v>30</v>
      </c>
      <c r="K464" s="7" t="s">
        <v>31</v>
      </c>
      <c r="L464" s="7" t="s">
        <v>60</v>
      </c>
      <c r="M464" s="7" t="s">
        <v>41</v>
      </c>
      <c r="N464" s="7">
        <v>4</v>
      </c>
      <c r="O464" s="7">
        <v>17005</v>
      </c>
      <c r="P464" s="7">
        <v>54416</v>
      </c>
      <c r="Q464" s="9">
        <v>8930.9699999999993</v>
      </c>
      <c r="R464" s="17">
        <f t="shared" si="7"/>
        <v>0.16412397089091443</v>
      </c>
    </row>
    <row r="465" spans="2:18" x14ac:dyDescent="0.3">
      <c r="B465" s="21" t="s">
        <v>978</v>
      </c>
      <c r="C465" s="11">
        <v>45622</v>
      </c>
      <c r="D465" s="10" t="s">
        <v>979</v>
      </c>
      <c r="E465" s="10" t="s">
        <v>65</v>
      </c>
      <c r="F465" s="10" t="s">
        <v>19</v>
      </c>
      <c r="G465" s="10">
        <v>46</v>
      </c>
      <c r="H465" s="10" t="s">
        <v>56</v>
      </c>
      <c r="I465" s="10" t="s">
        <v>21</v>
      </c>
      <c r="J465" s="10" t="s">
        <v>50</v>
      </c>
      <c r="K465" s="10" t="s">
        <v>40</v>
      </c>
      <c r="L465" s="10" t="s">
        <v>47</v>
      </c>
      <c r="M465" s="10" t="s">
        <v>52</v>
      </c>
      <c r="N465" s="10">
        <v>4</v>
      </c>
      <c r="O465" s="10">
        <v>17515</v>
      </c>
      <c r="P465" s="10">
        <v>63054</v>
      </c>
      <c r="Q465" s="12">
        <v>17569.98</v>
      </c>
      <c r="R465" s="17">
        <f t="shared" si="7"/>
        <v>0.27864972880388239</v>
      </c>
    </row>
    <row r="466" spans="2:18" x14ac:dyDescent="0.3">
      <c r="B466" s="20" t="s">
        <v>980</v>
      </c>
      <c r="C466" s="8">
        <v>45531</v>
      </c>
      <c r="D466" s="7" t="s">
        <v>981</v>
      </c>
      <c r="E466" s="7" t="s">
        <v>55</v>
      </c>
      <c r="F466" s="7" t="s">
        <v>19</v>
      </c>
      <c r="G466" s="7">
        <v>25</v>
      </c>
      <c r="H466" s="7" t="s">
        <v>56</v>
      </c>
      <c r="I466" s="7" t="s">
        <v>46</v>
      </c>
      <c r="J466" s="7" t="s">
        <v>30</v>
      </c>
      <c r="K466" s="7" t="s">
        <v>51</v>
      </c>
      <c r="L466" s="7" t="s">
        <v>47</v>
      </c>
      <c r="M466" s="7" t="s">
        <v>33</v>
      </c>
      <c r="N466" s="7">
        <v>1</v>
      </c>
      <c r="O466" s="7">
        <v>46980</v>
      </c>
      <c r="P466" s="7">
        <v>39933</v>
      </c>
      <c r="Q466" s="9">
        <v>15208.45</v>
      </c>
      <c r="R466" s="17">
        <f t="shared" si="7"/>
        <v>0.38084917236370924</v>
      </c>
    </row>
    <row r="467" spans="2:18" x14ac:dyDescent="0.3">
      <c r="B467" s="21" t="s">
        <v>982</v>
      </c>
      <c r="C467" s="11">
        <v>45450</v>
      </c>
      <c r="D467" s="10" t="s">
        <v>983</v>
      </c>
      <c r="E467" s="10" t="s">
        <v>18</v>
      </c>
      <c r="F467" s="10" t="s">
        <v>19</v>
      </c>
      <c r="G467" s="10">
        <v>54</v>
      </c>
      <c r="H467" s="10" t="s">
        <v>56</v>
      </c>
      <c r="I467" s="10" t="s">
        <v>46</v>
      </c>
      <c r="J467" s="10" t="s">
        <v>30</v>
      </c>
      <c r="K467" s="10" t="s">
        <v>69</v>
      </c>
      <c r="L467" s="10" t="s">
        <v>32</v>
      </c>
      <c r="M467" s="10" t="s">
        <v>52</v>
      </c>
      <c r="N467" s="10">
        <v>4</v>
      </c>
      <c r="O467" s="10">
        <v>3929</v>
      </c>
      <c r="P467" s="10">
        <v>12572.8</v>
      </c>
      <c r="Q467" s="12">
        <v>4254.18</v>
      </c>
      <c r="R467" s="17">
        <f t="shared" si="7"/>
        <v>0.33836376940697382</v>
      </c>
    </row>
    <row r="468" spans="2:18" x14ac:dyDescent="0.3">
      <c r="B468" s="20" t="s">
        <v>984</v>
      </c>
      <c r="C468" s="8">
        <v>45376</v>
      </c>
      <c r="D468" s="7" t="s">
        <v>985</v>
      </c>
      <c r="E468" s="7" t="s">
        <v>44</v>
      </c>
      <c r="F468" s="7" t="s">
        <v>19</v>
      </c>
      <c r="G468" s="7">
        <v>50</v>
      </c>
      <c r="H468" s="7" t="s">
        <v>29</v>
      </c>
      <c r="I468" s="7" t="s">
        <v>46</v>
      </c>
      <c r="J468" s="7" t="s">
        <v>30</v>
      </c>
      <c r="K468" s="7" t="s">
        <v>23</v>
      </c>
      <c r="L468" s="7" t="s">
        <v>80</v>
      </c>
      <c r="M468" s="7" t="s">
        <v>41</v>
      </c>
      <c r="N468" s="7">
        <v>4</v>
      </c>
      <c r="O468" s="7">
        <v>16725</v>
      </c>
      <c r="P468" s="7">
        <v>60210</v>
      </c>
      <c r="Q468" s="9">
        <v>14599.92</v>
      </c>
      <c r="R468" s="17">
        <f t="shared" si="7"/>
        <v>0.24248330842052815</v>
      </c>
    </row>
    <row r="469" spans="2:18" x14ac:dyDescent="0.3">
      <c r="B469" s="21" t="s">
        <v>986</v>
      </c>
      <c r="C469" s="11">
        <v>45591</v>
      </c>
      <c r="D469" s="10" t="s">
        <v>987</v>
      </c>
      <c r="E469" s="10" t="s">
        <v>93</v>
      </c>
      <c r="F469" s="10" t="s">
        <v>37</v>
      </c>
      <c r="G469" s="10">
        <v>20</v>
      </c>
      <c r="H469" s="10" t="s">
        <v>45</v>
      </c>
      <c r="I469" s="10" t="s">
        <v>21</v>
      </c>
      <c r="J469" s="10" t="s">
        <v>22</v>
      </c>
      <c r="K469" s="10" t="s">
        <v>69</v>
      </c>
      <c r="L469" s="10" t="s">
        <v>60</v>
      </c>
      <c r="M469" s="10" t="s">
        <v>33</v>
      </c>
      <c r="N469" s="10">
        <v>5</v>
      </c>
      <c r="O469" s="10">
        <v>7251</v>
      </c>
      <c r="P469" s="10">
        <v>32629.5</v>
      </c>
      <c r="Q469" s="12">
        <v>12226.73</v>
      </c>
      <c r="R469" s="17">
        <f t="shared" si="7"/>
        <v>0.37471398581038629</v>
      </c>
    </row>
    <row r="470" spans="2:18" x14ac:dyDescent="0.3">
      <c r="B470" s="20" t="s">
        <v>988</v>
      </c>
      <c r="C470" s="8">
        <v>45475</v>
      </c>
      <c r="D470" s="7" t="s">
        <v>989</v>
      </c>
      <c r="E470" s="7" t="s">
        <v>65</v>
      </c>
      <c r="F470" s="7" t="s">
        <v>37</v>
      </c>
      <c r="G470" s="7">
        <v>49</v>
      </c>
      <c r="H470" s="7" t="s">
        <v>38</v>
      </c>
      <c r="I470" s="7" t="s">
        <v>21</v>
      </c>
      <c r="J470" s="7" t="s">
        <v>30</v>
      </c>
      <c r="K470" s="7" t="s">
        <v>40</v>
      </c>
      <c r="L470" s="7" t="s">
        <v>80</v>
      </c>
      <c r="M470" s="7" t="s">
        <v>52</v>
      </c>
      <c r="N470" s="7">
        <v>5</v>
      </c>
      <c r="O470" s="7">
        <v>42943</v>
      </c>
      <c r="P470" s="7">
        <v>193243.5</v>
      </c>
      <c r="Q470" s="9">
        <v>56811.02</v>
      </c>
      <c r="R470" s="17">
        <f t="shared" si="7"/>
        <v>0.29398670589178938</v>
      </c>
    </row>
    <row r="471" spans="2:18" x14ac:dyDescent="0.3">
      <c r="B471" s="21" t="s">
        <v>990</v>
      </c>
      <c r="C471" s="11">
        <v>45600</v>
      </c>
      <c r="D471" s="10" t="s">
        <v>991</v>
      </c>
      <c r="E471" s="10" t="s">
        <v>65</v>
      </c>
      <c r="F471" s="10" t="s">
        <v>19</v>
      </c>
      <c r="G471" s="10">
        <v>46</v>
      </c>
      <c r="H471" s="10" t="s">
        <v>66</v>
      </c>
      <c r="I471" s="10" t="s">
        <v>46</v>
      </c>
      <c r="J471" s="10" t="s">
        <v>50</v>
      </c>
      <c r="K471" s="10" t="s">
        <v>40</v>
      </c>
      <c r="L471" s="10" t="s">
        <v>32</v>
      </c>
      <c r="M471" s="10" t="s">
        <v>25</v>
      </c>
      <c r="N471" s="10">
        <v>5</v>
      </c>
      <c r="O471" s="10">
        <v>3185</v>
      </c>
      <c r="P471" s="10">
        <v>12740</v>
      </c>
      <c r="Q471" s="12">
        <v>1970.25</v>
      </c>
      <c r="R471" s="17">
        <f t="shared" si="7"/>
        <v>0.15465070643642073</v>
      </c>
    </row>
    <row r="472" spans="2:18" x14ac:dyDescent="0.3">
      <c r="B472" s="20" t="s">
        <v>992</v>
      </c>
      <c r="C472" s="8">
        <v>45575</v>
      </c>
      <c r="D472" s="7" t="s">
        <v>993</v>
      </c>
      <c r="E472" s="7" t="s">
        <v>65</v>
      </c>
      <c r="F472" s="7" t="s">
        <v>19</v>
      </c>
      <c r="G472" s="7">
        <v>49</v>
      </c>
      <c r="H472" s="7" t="s">
        <v>45</v>
      </c>
      <c r="I472" s="7" t="s">
        <v>21</v>
      </c>
      <c r="J472" s="7" t="s">
        <v>30</v>
      </c>
      <c r="K472" s="7" t="s">
        <v>69</v>
      </c>
      <c r="L472" s="7" t="s">
        <v>60</v>
      </c>
      <c r="M472" s="7" t="s">
        <v>25</v>
      </c>
      <c r="N472" s="7">
        <v>1</v>
      </c>
      <c r="O472" s="7">
        <v>40478</v>
      </c>
      <c r="P472" s="7">
        <v>36430.199999999997</v>
      </c>
      <c r="Q472" s="9">
        <v>6607.86</v>
      </c>
      <c r="R472" s="17">
        <f t="shared" si="7"/>
        <v>0.18138412635670406</v>
      </c>
    </row>
    <row r="473" spans="2:18" x14ac:dyDescent="0.3">
      <c r="B473" s="21" t="s">
        <v>994</v>
      </c>
      <c r="C473" s="11">
        <v>45612</v>
      </c>
      <c r="D473" s="10" t="s">
        <v>995</v>
      </c>
      <c r="E473" s="10" t="s">
        <v>28</v>
      </c>
      <c r="F473" s="10" t="s">
        <v>19</v>
      </c>
      <c r="G473" s="10">
        <v>52</v>
      </c>
      <c r="H473" s="10" t="s">
        <v>38</v>
      </c>
      <c r="I473" s="10" t="s">
        <v>21</v>
      </c>
      <c r="J473" s="10" t="s">
        <v>50</v>
      </c>
      <c r="K473" s="10" t="s">
        <v>51</v>
      </c>
      <c r="L473" s="10" t="s">
        <v>47</v>
      </c>
      <c r="M473" s="10" t="s">
        <v>52</v>
      </c>
      <c r="N473" s="10">
        <v>3</v>
      </c>
      <c r="O473" s="10">
        <v>31876</v>
      </c>
      <c r="P473" s="10">
        <v>81283.8</v>
      </c>
      <c r="Q473" s="12">
        <v>27192.799999999999</v>
      </c>
      <c r="R473" s="17">
        <f t="shared" si="7"/>
        <v>0.33454144614301989</v>
      </c>
    </row>
    <row r="474" spans="2:18" x14ac:dyDescent="0.3">
      <c r="B474" s="20" t="s">
        <v>996</v>
      </c>
      <c r="C474" s="8">
        <v>45605</v>
      </c>
      <c r="D474" s="7" t="s">
        <v>997</v>
      </c>
      <c r="E474" s="7" t="s">
        <v>18</v>
      </c>
      <c r="F474" s="7" t="s">
        <v>37</v>
      </c>
      <c r="G474" s="7">
        <v>50</v>
      </c>
      <c r="H474" s="7" t="s">
        <v>29</v>
      </c>
      <c r="I474" s="7" t="s">
        <v>39</v>
      </c>
      <c r="J474" s="7" t="s">
        <v>22</v>
      </c>
      <c r="K474" s="7" t="s">
        <v>31</v>
      </c>
      <c r="L474" s="7" t="s">
        <v>24</v>
      </c>
      <c r="M474" s="7" t="s">
        <v>33</v>
      </c>
      <c r="N474" s="7">
        <v>3</v>
      </c>
      <c r="O474" s="7">
        <v>27079</v>
      </c>
      <c r="P474" s="7">
        <v>64989.599999999999</v>
      </c>
      <c r="Q474" s="9">
        <v>24059.48</v>
      </c>
      <c r="R474" s="17">
        <f t="shared" si="7"/>
        <v>0.37020507896648081</v>
      </c>
    </row>
    <row r="475" spans="2:18" x14ac:dyDescent="0.3">
      <c r="B475" s="21" t="s">
        <v>998</v>
      </c>
      <c r="C475" s="11">
        <v>45310</v>
      </c>
      <c r="D475" s="10" t="s">
        <v>999</v>
      </c>
      <c r="E475" s="10" t="s">
        <v>18</v>
      </c>
      <c r="F475" s="10" t="s">
        <v>19</v>
      </c>
      <c r="G475" s="10">
        <v>24</v>
      </c>
      <c r="H475" s="10" t="s">
        <v>38</v>
      </c>
      <c r="I475" s="10" t="s">
        <v>21</v>
      </c>
      <c r="J475" s="10" t="s">
        <v>30</v>
      </c>
      <c r="K475" s="10" t="s">
        <v>40</v>
      </c>
      <c r="L475" s="10" t="s">
        <v>60</v>
      </c>
      <c r="M475" s="10" t="s">
        <v>52</v>
      </c>
      <c r="N475" s="10">
        <v>3</v>
      </c>
      <c r="O475" s="10">
        <v>21466</v>
      </c>
      <c r="P475" s="10">
        <v>57958.2</v>
      </c>
      <c r="Q475" s="12">
        <v>22618.240000000002</v>
      </c>
      <c r="R475" s="17">
        <f t="shared" si="7"/>
        <v>0.390250904962542</v>
      </c>
    </row>
    <row r="476" spans="2:18" x14ac:dyDescent="0.3">
      <c r="B476" s="20" t="s">
        <v>1000</v>
      </c>
      <c r="C476" s="8">
        <v>45496</v>
      </c>
      <c r="D476" s="7" t="s">
        <v>1001</v>
      </c>
      <c r="E476" s="7" t="s">
        <v>65</v>
      </c>
      <c r="F476" s="7" t="s">
        <v>19</v>
      </c>
      <c r="G476" s="7">
        <v>18</v>
      </c>
      <c r="H476" s="7" t="s">
        <v>38</v>
      </c>
      <c r="I476" s="7" t="s">
        <v>21</v>
      </c>
      <c r="J476" s="7" t="s">
        <v>30</v>
      </c>
      <c r="K476" s="7" t="s">
        <v>31</v>
      </c>
      <c r="L476" s="7" t="s">
        <v>80</v>
      </c>
      <c r="M476" s="7" t="s">
        <v>41</v>
      </c>
      <c r="N476" s="7">
        <v>3</v>
      </c>
      <c r="O476" s="7">
        <v>45052</v>
      </c>
      <c r="P476" s="7">
        <v>135156</v>
      </c>
      <c r="Q476" s="9">
        <v>25179.46</v>
      </c>
      <c r="R476" s="17">
        <f t="shared" si="7"/>
        <v>0.18629923939743703</v>
      </c>
    </row>
    <row r="477" spans="2:18" x14ac:dyDescent="0.3">
      <c r="B477" s="21" t="s">
        <v>1002</v>
      </c>
      <c r="C477" s="11">
        <v>45517</v>
      </c>
      <c r="D477" s="10" t="s">
        <v>1003</v>
      </c>
      <c r="E477" s="10" t="s">
        <v>44</v>
      </c>
      <c r="F477" s="10" t="s">
        <v>37</v>
      </c>
      <c r="G477" s="10">
        <v>37</v>
      </c>
      <c r="H477" s="10" t="s">
        <v>66</v>
      </c>
      <c r="I477" s="10" t="s">
        <v>21</v>
      </c>
      <c r="J477" s="10" t="s">
        <v>50</v>
      </c>
      <c r="K477" s="10" t="s">
        <v>23</v>
      </c>
      <c r="L477" s="10" t="s">
        <v>80</v>
      </c>
      <c r="M477" s="10" t="s">
        <v>52</v>
      </c>
      <c r="N477" s="10">
        <v>4</v>
      </c>
      <c r="O477" s="10">
        <v>3787</v>
      </c>
      <c r="P477" s="10">
        <v>15148</v>
      </c>
      <c r="Q477" s="12">
        <v>3239.13</v>
      </c>
      <c r="R477" s="17">
        <f t="shared" si="7"/>
        <v>0.21383218906786375</v>
      </c>
    </row>
    <row r="478" spans="2:18" x14ac:dyDescent="0.3">
      <c r="B478" s="20" t="s">
        <v>1004</v>
      </c>
      <c r="C478" s="8">
        <v>45365</v>
      </c>
      <c r="D478" s="7" t="s">
        <v>1005</v>
      </c>
      <c r="E478" s="7" t="s">
        <v>79</v>
      </c>
      <c r="F478" s="7" t="s">
        <v>19</v>
      </c>
      <c r="G478" s="7">
        <v>28</v>
      </c>
      <c r="H478" s="7" t="s">
        <v>20</v>
      </c>
      <c r="I478" s="7" t="s">
        <v>21</v>
      </c>
      <c r="J478" s="7" t="s">
        <v>30</v>
      </c>
      <c r="K478" s="7" t="s">
        <v>40</v>
      </c>
      <c r="L478" s="7" t="s">
        <v>24</v>
      </c>
      <c r="M478" s="7" t="s">
        <v>25</v>
      </c>
      <c r="N478" s="7">
        <v>1</v>
      </c>
      <c r="O478" s="7">
        <v>22648</v>
      </c>
      <c r="P478" s="7">
        <v>19250.8</v>
      </c>
      <c r="Q478" s="9">
        <v>2894.53</v>
      </c>
      <c r="R478" s="17">
        <f t="shared" si="7"/>
        <v>0.15035894612171963</v>
      </c>
    </row>
    <row r="479" spans="2:18" x14ac:dyDescent="0.3">
      <c r="B479" s="21" t="s">
        <v>1006</v>
      </c>
      <c r="C479" s="11">
        <v>45331</v>
      </c>
      <c r="D479" s="10" t="s">
        <v>1007</v>
      </c>
      <c r="E479" s="10" t="s">
        <v>18</v>
      </c>
      <c r="F479" s="10" t="s">
        <v>37</v>
      </c>
      <c r="G479" s="10">
        <v>25</v>
      </c>
      <c r="H479" s="10" t="s">
        <v>45</v>
      </c>
      <c r="I479" s="10" t="s">
        <v>21</v>
      </c>
      <c r="J479" s="10" t="s">
        <v>22</v>
      </c>
      <c r="K479" s="10" t="s">
        <v>23</v>
      </c>
      <c r="L479" s="10" t="s">
        <v>32</v>
      </c>
      <c r="M479" s="10" t="s">
        <v>41</v>
      </c>
      <c r="N479" s="10">
        <v>2</v>
      </c>
      <c r="O479" s="10">
        <v>48520</v>
      </c>
      <c r="P479" s="10">
        <v>97040</v>
      </c>
      <c r="Q479" s="12">
        <v>36742.21</v>
      </c>
      <c r="R479" s="17">
        <f t="shared" si="7"/>
        <v>0.3786295342126958</v>
      </c>
    </row>
    <row r="480" spans="2:18" x14ac:dyDescent="0.3">
      <c r="B480" s="20" t="s">
        <v>1008</v>
      </c>
      <c r="C480" s="8">
        <v>45576</v>
      </c>
      <c r="D480" s="7" t="s">
        <v>1009</v>
      </c>
      <c r="E480" s="7" t="s">
        <v>59</v>
      </c>
      <c r="F480" s="7" t="s">
        <v>19</v>
      </c>
      <c r="G480" s="7">
        <v>28</v>
      </c>
      <c r="H480" s="7" t="s">
        <v>38</v>
      </c>
      <c r="I480" s="7" t="s">
        <v>21</v>
      </c>
      <c r="J480" s="7" t="s">
        <v>50</v>
      </c>
      <c r="K480" s="7" t="s">
        <v>69</v>
      </c>
      <c r="L480" s="7" t="s">
        <v>32</v>
      </c>
      <c r="M480" s="7" t="s">
        <v>25</v>
      </c>
      <c r="N480" s="7">
        <v>5</v>
      </c>
      <c r="O480" s="7">
        <v>44402</v>
      </c>
      <c r="P480" s="7">
        <v>188708.5</v>
      </c>
      <c r="Q480" s="9">
        <v>54875.43</v>
      </c>
      <c r="R480" s="17">
        <f t="shared" si="7"/>
        <v>0.29079469128311658</v>
      </c>
    </row>
    <row r="481" spans="2:18" x14ac:dyDescent="0.3">
      <c r="B481" s="21" t="s">
        <v>1010</v>
      </c>
      <c r="C481" s="11">
        <v>45437</v>
      </c>
      <c r="D481" s="10" t="s">
        <v>1011</v>
      </c>
      <c r="E481" s="10" t="s">
        <v>93</v>
      </c>
      <c r="F481" s="10" t="s">
        <v>37</v>
      </c>
      <c r="G481" s="10">
        <v>53</v>
      </c>
      <c r="H481" s="10" t="s">
        <v>20</v>
      </c>
      <c r="I481" s="10" t="s">
        <v>21</v>
      </c>
      <c r="J481" s="10" t="s">
        <v>50</v>
      </c>
      <c r="K481" s="10" t="s">
        <v>31</v>
      </c>
      <c r="L481" s="10" t="s">
        <v>32</v>
      </c>
      <c r="M481" s="10" t="s">
        <v>41</v>
      </c>
      <c r="N481" s="10">
        <v>4</v>
      </c>
      <c r="O481" s="10">
        <v>41276</v>
      </c>
      <c r="P481" s="10">
        <v>140338.4</v>
      </c>
      <c r="Q481" s="12">
        <v>49683.67</v>
      </c>
      <c r="R481" s="17">
        <f t="shared" si="7"/>
        <v>0.35402762180557851</v>
      </c>
    </row>
    <row r="482" spans="2:18" x14ac:dyDescent="0.3">
      <c r="B482" s="20" t="s">
        <v>1012</v>
      </c>
      <c r="C482" s="8">
        <v>45540</v>
      </c>
      <c r="D482" s="7" t="s">
        <v>1013</v>
      </c>
      <c r="E482" s="7" t="s">
        <v>79</v>
      </c>
      <c r="F482" s="7" t="s">
        <v>37</v>
      </c>
      <c r="G482" s="7">
        <v>22</v>
      </c>
      <c r="H482" s="7" t="s">
        <v>29</v>
      </c>
      <c r="I482" s="7" t="s">
        <v>21</v>
      </c>
      <c r="J482" s="7" t="s">
        <v>22</v>
      </c>
      <c r="K482" s="7" t="s">
        <v>31</v>
      </c>
      <c r="L482" s="7" t="s">
        <v>80</v>
      </c>
      <c r="M482" s="7" t="s">
        <v>52</v>
      </c>
      <c r="N482" s="7">
        <v>3</v>
      </c>
      <c r="O482" s="7">
        <v>19356</v>
      </c>
      <c r="P482" s="7">
        <v>46454.400000000001</v>
      </c>
      <c r="Q482" s="9">
        <v>10356.450000000001</v>
      </c>
      <c r="R482" s="17">
        <f t="shared" si="7"/>
        <v>0.22293797788799338</v>
      </c>
    </row>
    <row r="483" spans="2:18" x14ac:dyDescent="0.3">
      <c r="B483" s="21" t="s">
        <v>1014</v>
      </c>
      <c r="C483" s="11">
        <v>45541</v>
      </c>
      <c r="D483" s="10" t="s">
        <v>1015</v>
      </c>
      <c r="E483" s="10" t="s">
        <v>79</v>
      </c>
      <c r="F483" s="10" t="s">
        <v>37</v>
      </c>
      <c r="G483" s="10">
        <v>48</v>
      </c>
      <c r="H483" s="10" t="s">
        <v>45</v>
      </c>
      <c r="I483" s="10" t="s">
        <v>39</v>
      </c>
      <c r="J483" s="10" t="s">
        <v>22</v>
      </c>
      <c r="K483" s="10" t="s">
        <v>31</v>
      </c>
      <c r="L483" s="10" t="s">
        <v>24</v>
      </c>
      <c r="M483" s="10" t="s">
        <v>41</v>
      </c>
      <c r="N483" s="10">
        <v>5</v>
      </c>
      <c r="O483" s="10">
        <v>40748</v>
      </c>
      <c r="P483" s="10">
        <v>193553</v>
      </c>
      <c r="Q483" s="12">
        <v>47768.9</v>
      </c>
      <c r="R483" s="17">
        <f t="shared" si="7"/>
        <v>0.2468001012642532</v>
      </c>
    </row>
    <row r="484" spans="2:18" x14ac:dyDescent="0.3">
      <c r="B484" s="20" t="s">
        <v>1016</v>
      </c>
      <c r="C484" s="8">
        <v>45472</v>
      </c>
      <c r="D484" s="7" t="s">
        <v>1017</v>
      </c>
      <c r="E484" s="7" t="s">
        <v>36</v>
      </c>
      <c r="F484" s="7" t="s">
        <v>19</v>
      </c>
      <c r="G484" s="7">
        <v>50</v>
      </c>
      <c r="H484" s="7" t="s">
        <v>29</v>
      </c>
      <c r="I484" s="7" t="s">
        <v>39</v>
      </c>
      <c r="J484" s="7" t="s">
        <v>22</v>
      </c>
      <c r="K484" s="7" t="s">
        <v>40</v>
      </c>
      <c r="L484" s="7" t="s">
        <v>60</v>
      </c>
      <c r="M484" s="7" t="s">
        <v>33</v>
      </c>
      <c r="N484" s="7">
        <v>4</v>
      </c>
      <c r="O484" s="7">
        <v>4970</v>
      </c>
      <c r="P484" s="7">
        <v>19880</v>
      </c>
      <c r="Q484" s="9">
        <v>6849.51</v>
      </c>
      <c r="R484" s="17">
        <f t="shared" si="7"/>
        <v>0.34454275653923544</v>
      </c>
    </row>
    <row r="485" spans="2:18" x14ac:dyDescent="0.3">
      <c r="B485" s="21" t="s">
        <v>1018</v>
      </c>
      <c r="C485" s="11">
        <v>45475</v>
      </c>
      <c r="D485" s="10" t="s">
        <v>1019</v>
      </c>
      <c r="E485" s="10" t="s">
        <v>44</v>
      </c>
      <c r="F485" s="10" t="s">
        <v>37</v>
      </c>
      <c r="G485" s="10">
        <v>27</v>
      </c>
      <c r="H485" s="10" t="s">
        <v>20</v>
      </c>
      <c r="I485" s="10" t="s">
        <v>46</v>
      </c>
      <c r="J485" s="10" t="s">
        <v>50</v>
      </c>
      <c r="K485" s="10" t="s">
        <v>40</v>
      </c>
      <c r="L485" s="10" t="s">
        <v>80</v>
      </c>
      <c r="M485" s="10" t="s">
        <v>41</v>
      </c>
      <c r="N485" s="10">
        <v>2</v>
      </c>
      <c r="O485" s="10">
        <v>20186</v>
      </c>
      <c r="P485" s="10">
        <v>38353.4</v>
      </c>
      <c r="Q485" s="12">
        <v>5919.75</v>
      </c>
      <c r="R485" s="17">
        <f t="shared" si="7"/>
        <v>0.1543474633278927</v>
      </c>
    </row>
    <row r="486" spans="2:18" x14ac:dyDescent="0.3">
      <c r="B486" s="20" t="s">
        <v>1020</v>
      </c>
      <c r="C486" s="8">
        <v>45627</v>
      </c>
      <c r="D486" s="7" t="s">
        <v>1021</v>
      </c>
      <c r="E486" s="7" t="s">
        <v>36</v>
      </c>
      <c r="F486" s="7" t="s">
        <v>37</v>
      </c>
      <c r="G486" s="7">
        <v>54</v>
      </c>
      <c r="H486" s="7" t="s">
        <v>29</v>
      </c>
      <c r="I486" s="7" t="s">
        <v>21</v>
      </c>
      <c r="J486" s="7" t="s">
        <v>50</v>
      </c>
      <c r="K486" s="7" t="s">
        <v>69</v>
      </c>
      <c r="L486" s="7" t="s">
        <v>24</v>
      </c>
      <c r="M486" s="7" t="s">
        <v>25</v>
      </c>
      <c r="N486" s="7">
        <v>1</v>
      </c>
      <c r="O486" s="7">
        <v>27310</v>
      </c>
      <c r="P486" s="7">
        <v>21848</v>
      </c>
      <c r="Q486" s="9">
        <v>3984.19</v>
      </c>
      <c r="R486" s="17">
        <f t="shared" si="7"/>
        <v>0.18235948370560234</v>
      </c>
    </row>
    <row r="487" spans="2:18" x14ac:dyDescent="0.3">
      <c r="B487" s="21" t="s">
        <v>1022</v>
      </c>
      <c r="C487" s="11">
        <v>45487</v>
      </c>
      <c r="D487" s="10" t="s">
        <v>1023</v>
      </c>
      <c r="E487" s="10" t="s">
        <v>93</v>
      </c>
      <c r="F487" s="10" t="s">
        <v>19</v>
      </c>
      <c r="G487" s="10">
        <v>54</v>
      </c>
      <c r="H487" s="10" t="s">
        <v>38</v>
      </c>
      <c r="I487" s="10" t="s">
        <v>21</v>
      </c>
      <c r="J487" s="10" t="s">
        <v>50</v>
      </c>
      <c r="K487" s="10" t="s">
        <v>31</v>
      </c>
      <c r="L487" s="10" t="s">
        <v>24</v>
      </c>
      <c r="M487" s="10" t="s">
        <v>41</v>
      </c>
      <c r="N487" s="10">
        <v>3</v>
      </c>
      <c r="O487" s="10">
        <v>5431</v>
      </c>
      <c r="P487" s="10">
        <v>14663.7</v>
      </c>
      <c r="Q487" s="12">
        <v>5020.92</v>
      </c>
      <c r="R487" s="17">
        <f t="shared" si="7"/>
        <v>0.34240471368072178</v>
      </c>
    </row>
    <row r="488" spans="2:18" x14ac:dyDescent="0.3">
      <c r="B488" s="20" t="s">
        <v>1024</v>
      </c>
      <c r="C488" s="8">
        <v>45490</v>
      </c>
      <c r="D488" s="7" t="s">
        <v>1025</v>
      </c>
      <c r="E488" s="7" t="s">
        <v>44</v>
      </c>
      <c r="F488" s="7" t="s">
        <v>37</v>
      </c>
      <c r="G488" s="7">
        <v>26</v>
      </c>
      <c r="H488" s="7" t="s">
        <v>38</v>
      </c>
      <c r="I488" s="7" t="s">
        <v>21</v>
      </c>
      <c r="J488" s="7" t="s">
        <v>22</v>
      </c>
      <c r="K488" s="7" t="s">
        <v>31</v>
      </c>
      <c r="L488" s="7" t="s">
        <v>24</v>
      </c>
      <c r="M488" s="7" t="s">
        <v>41</v>
      </c>
      <c r="N488" s="7">
        <v>3</v>
      </c>
      <c r="O488" s="7">
        <v>2364</v>
      </c>
      <c r="P488" s="7">
        <v>6737.4</v>
      </c>
      <c r="Q488" s="9">
        <v>2621.36</v>
      </c>
      <c r="R488" s="17">
        <f t="shared" si="7"/>
        <v>0.3890759046516461</v>
      </c>
    </row>
    <row r="489" spans="2:18" x14ac:dyDescent="0.3">
      <c r="B489" s="21" t="s">
        <v>1026</v>
      </c>
      <c r="C489" s="11">
        <v>45478</v>
      </c>
      <c r="D489" s="10" t="s">
        <v>1027</v>
      </c>
      <c r="E489" s="10" t="s">
        <v>76</v>
      </c>
      <c r="F489" s="10" t="s">
        <v>19</v>
      </c>
      <c r="G489" s="10">
        <v>28</v>
      </c>
      <c r="H489" s="10" t="s">
        <v>45</v>
      </c>
      <c r="I489" s="10" t="s">
        <v>21</v>
      </c>
      <c r="J489" s="10" t="s">
        <v>30</v>
      </c>
      <c r="K489" s="10" t="s">
        <v>23</v>
      </c>
      <c r="L489" s="10" t="s">
        <v>60</v>
      </c>
      <c r="M489" s="10" t="s">
        <v>33</v>
      </c>
      <c r="N489" s="10">
        <v>4</v>
      </c>
      <c r="O489" s="10">
        <v>35271</v>
      </c>
      <c r="P489" s="10">
        <v>112867.2</v>
      </c>
      <c r="Q489" s="12">
        <v>30341.69</v>
      </c>
      <c r="R489" s="17">
        <f t="shared" si="7"/>
        <v>0.26882646154064244</v>
      </c>
    </row>
    <row r="490" spans="2:18" x14ac:dyDescent="0.3">
      <c r="B490" s="20" t="s">
        <v>1028</v>
      </c>
      <c r="C490" s="8">
        <v>45601</v>
      </c>
      <c r="D490" s="7" t="s">
        <v>1029</v>
      </c>
      <c r="E490" s="7" t="s">
        <v>55</v>
      </c>
      <c r="F490" s="7" t="s">
        <v>37</v>
      </c>
      <c r="G490" s="7">
        <v>46</v>
      </c>
      <c r="H490" s="7" t="s">
        <v>45</v>
      </c>
      <c r="I490" s="7" t="s">
        <v>46</v>
      </c>
      <c r="J490" s="7" t="s">
        <v>30</v>
      </c>
      <c r="K490" s="7" t="s">
        <v>51</v>
      </c>
      <c r="L490" s="7" t="s">
        <v>32</v>
      </c>
      <c r="M490" s="7" t="s">
        <v>52</v>
      </c>
      <c r="N490" s="7">
        <v>4</v>
      </c>
      <c r="O490" s="7">
        <v>27815</v>
      </c>
      <c r="P490" s="7">
        <v>89008</v>
      </c>
      <c r="Q490" s="9">
        <v>27734.85</v>
      </c>
      <c r="R490" s="17">
        <f t="shared" si="7"/>
        <v>0.31159951914434658</v>
      </c>
    </row>
    <row r="491" spans="2:18" x14ac:dyDescent="0.3">
      <c r="B491" s="21" t="s">
        <v>1030</v>
      </c>
      <c r="C491" s="11">
        <v>45489</v>
      </c>
      <c r="D491" s="10" t="s">
        <v>1031</v>
      </c>
      <c r="E491" s="10" t="s">
        <v>55</v>
      </c>
      <c r="F491" s="10" t="s">
        <v>19</v>
      </c>
      <c r="G491" s="10">
        <v>47</v>
      </c>
      <c r="H491" s="10" t="s">
        <v>29</v>
      </c>
      <c r="I491" s="10" t="s">
        <v>21</v>
      </c>
      <c r="J491" s="10" t="s">
        <v>50</v>
      </c>
      <c r="K491" s="10" t="s">
        <v>69</v>
      </c>
      <c r="L491" s="10" t="s">
        <v>32</v>
      </c>
      <c r="M491" s="10" t="s">
        <v>33</v>
      </c>
      <c r="N491" s="10">
        <v>5</v>
      </c>
      <c r="O491" s="10">
        <v>1503</v>
      </c>
      <c r="P491" s="10">
        <v>7139.25</v>
      </c>
      <c r="Q491" s="12">
        <v>2495.8200000000002</v>
      </c>
      <c r="R491" s="17">
        <f t="shared" si="7"/>
        <v>0.34959134362853245</v>
      </c>
    </row>
    <row r="492" spans="2:18" x14ac:dyDescent="0.3">
      <c r="B492" s="20" t="s">
        <v>1032</v>
      </c>
      <c r="C492" s="8">
        <v>45305</v>
      </c>
      <c r="D492" s="7" t="s">
        <v>1033</v>
      </c>
      <c r="E492" s="7" t="s">
        <v>93</v>
      </c>
      <c r="F492" s="7" t="s">
        <v>37</v>
      </c>
      <c r="G492" s="7">
        <v>24</v>
      </c>
      <c r="H492" s="7" t="s">
        <v>38</v>
      </c>
      <c r="I492" s="7" t="s">
        <v>21</v>
      </c>
      <c r="J492" s="7" t="s">
        <v>50</v>
      </c>
      <c r="K492" s="7" t="s">
        <v>69</v>
      </c>
      <c r="L492" s="7" t="s">
        <v>32</v>
      </c>
      <c r="M492" s="7" t="s">
        <v>33</v>
      </c>
      <c r="N492" s="7">
        <v>3</v>
      </c>
      <c r="O492" s="7">
        <v>39281</v>
      </c>
      <c r="P492" s="7">
        <v>100166.55</v>
      </c>
      <c r="Q492" s="9">
        <v>24066.49</v>
      </c>
      <c r="R492" s="17">
        <f t="shared" si="7"/>
        <v>0.24026473907706716</v>
      </c>
    </row>
    <row r="493" spans="2:18" x14ac:dyDescent="0.3">
      <c r="B493" s="21" t="s">
        <v>1034</v>
      </c>
      <c r="C493" s="11">
        <v>45446</v>
      </c>
      <c r="D493" s="10" t="s">
        <v>1035</v>
      </c>
      <c r="E493" s="10" t="s">
        <v>55</v>
      </c>
      <c r="F493" s="10" t="s">
        <v>19</v>
      </c>
      <c r="G493" s="10">
        <v>55</v>
      </c>
      <c r="H493" s="10" t="s">
        <v>66</v>
      </c>
      <c r="I493" s="10" t="s">
        <v>21</v>
      </c>
      <c r="J493" s="10" t="s">
        <v>50</v>
      </c>
      <c r="K493" s="10" t="s">
        <v>40</v>
      </c>
      <c r="L493" s="10" t="s">
        <v>60</v>
      </c>
      <c r="M493" s="10" t="s">
        <v>41</v>
      </c>
      <c r="N493" s="10">
        <v>5</v>
      </c>
      <c r="O493" s="10">
        <v>2288</v>
      </c>
      <c r="P493" s="10">
        <v>11440</v>
      </c>
      <c r="Q493" s="12">
        <v>2936.47</v>
      </c>
      <c r="R493" s="17">
        <f t="shared" si="7"/>
        <v>0.25668444055944056</v>
      </c>
    </row>
    <row r="494" spans="2:18" x14ac:dyDescent="0.3">
      <c r="B494" s="20" t="s">
        <v>1036</v>
      </c>
      <c r="C494" s="8">
        <v>45444</v>
      </c>
      <c r="D494" s="7" t="s">
        <v>1037</v>
      </c>
      <c r="E494" s="7" t="s">
        <v>76</v>
      </c>
      <c r="F494" s="7" t="s">
        <v>37</v>
      </c>
      <c r="G494" s="7">
        <v>59</v>
      </c>
      <c r="H494" s="7" t="s">
        <v>38</v>
      </c>
      <c r="I494" s="7" t="s">
        <v>46</v>
      </c>
      <c r="J494" s="7" t="s">
        <v>22</v>
      </c>
      <c r="K494" s="7" t="s">
        <v>31</v>
      </c>
      <c r="L494" s="7" t="s">
        <v>24</v>
      </c>
      <c r="M494" s="7" t="s">
        <v>52</v>
      </c>
      <c r="N494" s="7">
        <v>3</v>
      </c>
      <c r="O494" s="7">
        <v>45675</v>
      </c>
      <c r="P494" s="7">
        <v>116471.25</v>
      </c>
      <c r="Q494" s="9">
        <v>43807.21</v>
      </c>
      <c r="R494" s="17">
        <f t="shared" si="7"/>
        <v>0.37612037305343593</v>
      </c>
    </row>
    <row r="495" spans="2:18" x14ac:dyDescent="0.3">
      <c r="B495" s="21" t="s">
        <v>1038</v>
      </c>
      <c r="C495" s="11">
        <v>45405</v>
      </c>
      <c r="D495" s="10" t="s">
        <v>1039</v>
      </c>
      <c r="E495" s="10" t="s">
        <v>28</v>
      </c>
      <c r="F495" s="10" t="s">
        <v>37</v>
      </c>
      <c r="G495" s="10">
        <v>58</v>
      </c>
      <c r="H495" s="10" t="s">
        <v>45</v>
      </c>
      <c r="I495" s="10" t="s">
        <v>39</v>
      </c>
      <c r="J495" s="10" t="s">
        <v>50</v>
      </c>
      <c r="K495" s="10" t="s">
        <v>31</v>
      </c>
      <c r="L495" s="10" t="s">
        <v>32</v>
      </c>
      <c r="M495" s="10" t="s">
        <v>25</v>
      </c>
      <c r="N495" s="10">
        <v>5</v>
      </c>
      <c r="O495" s="10">
        <v>49334</v>
      </c>
      <c r="P495" s="10">
        <v>209669.5</v>
      </c>
      <c r="Q495" s="12">
        <v>35635.35</v>
      </c>
      <c r="R495" s="17">
        <f t="shared" si="7"/>
        <v>0.1699596269366789</v>
      </c>
    </row>
    <row r="496" spans="2:18" x14ac:dyDescent="0.3">
      <c r="B496" s="20" t="s">
        <v>1040</v>
      </c>
      <c r="C496" s="8">
        <v>45350</v>
      </c>
      <c r="D496" s="7" t="s">
        <v>1041</v>
      </c>
      <c r="E496" s="7" t="s">
        <v>36</v>
      </c>
      <c r="F496" s="7" t="s">
        <v>19</v>
      </c>
      <c r="G496" s="7">
        <v>51</v>
      </c>
      <c r="H496" s="7" t="s">
        <v>38</v>
      </c>
      <c r="I496" s="7" t="s">
        <v>21</v>
      </c>
      <c r="J496" s="7" t="s">
        <v>22</v>
      </c>
      <c r="K496" s="7" t="s">
        <v>40</v>
      </c>
      <c r="L496" s="7" t="s">
        <v>60</v>
      </c>
      <c r="M496" s="7" t="s">
        <v>52</v>
      </c>
      <c r="N496" s="7">
        <v>2</v>
      </c>
      <c r="O496" s="7">
        <v>36942</v>
      </c>
      <c r="P496" s="7">
        <v>73884</v>
      </c>
      <c r="Q496" s="9">
        <v>14947.04</v>
      </c>
      <c r="R496" s="17">
        <f t="shared" si="7"/>
        <v>0.20230415245520006</v>
      </c>
    </row>
    <row r="497" spans="2:18" x14ac:dyDescent="0.3">
      <c r="B497" s="21" t="s">
        <v>1042</v>
      </c>
      <c r="C497" s="11">
        <v>45515</v>
      </c>
      <c r="D497" s="10" t="s">
        <v>1043</v>
      </c>
      <c r="E497" s="10" t="s">
        <v>65</v>
      </c>
      <c r="F497" s="10" t="s">
        <v>37</v>
      </c>
      <c r="G497" s="10">
        <v>32</v>
      </c>
      <c r="H497" s="10" t="s">
        <v>38</v>
      </c>
      <c r="I497" s="10" t="s">
        <v>21</v>
      </c>
      <c r="J497" s="10" t="s">
        <v>30</v>
      </c>
      <c r="K497" s="10" t="s">
        <v>69</v>
      </c>
      <c r="L497" s="10" t="s">
        <v>80</v>
      </c>
      <c r="M497" s="10" t="s">
        <v>33</v>
      </c>
      <c r="N497" s="10">
        <v>3</v>
      </c>
      <c r="O497" s="10">
        <v>43166</v>
      </c>
      <c r="P497" s="10">
        <v>116548.2</v>
      </c>
      <c r="Q497" s="12">
        <v>38958.550000000003</v>
      </c>
      <c r="R497" s="17">
        <f t="shared" si="7"/>
        <v>0.3342698557335077</v>
      </c>
    </row>
    <row r="498" spans="2:18" x14ac:dyDescent="0.3">
      <c r="B498" s="20" t="s">
        <v>1044</v>
      </c>
      <c r="C498" s="8">
        <v>45497</v>
      </c>
      <c r="D498" s="7" t="s">
        <v>1045</v>
      </c>
      <c r="E498" s="7" t="s">
        <v>18</v>
      </c>
      <c r="F498" s="7" t="s">
        <v>37</v>
      </c>
      <c r="G498" s="7">
        <v>25</v>
      </c>
      <c r="H498" s="7" t="s">
        <v>38</v>
      </c>
      <c r="I498" s="7" t="s">
        <v>21</v>
      </c>
      <c r="J498" s="7" t="s">
        <v>50</v>
      </c>
      <c r="K498" s="7" t="s">
        <v>23</v>
      </c>
      <c r="L498" s="7" t="s">
        <v>60</v>
      </c>
      <c r="M498" s="7" t="s">
        <v>25</v>
      </c>
      <c r="N498" s="7">
        <v>4</v>
      </c>
      <c r="O498" s="7">
        <v>45818</v>
      </c>
      <c r="P498" s="7">
        <v>155781.20000000001</v>
      </c>
      <c r="Q498" s="9">
        <v>57193.15</v>
      </c>
      <c r="R498" s="17">
        <f t="shared" si="7"/>
        <v>0.36713769055572815</v>
      </c>
    </row>
    <row r="499" spans="2:18" x14ac:dyDescent="0.3">
      <c r="B499" s="21" t="s">
        <v>1046</v>
      </c>
      <c r="C499" s="11">
        <v>45585</v>
      </c>
      <c r="D499" s="10" t="s">
        <v>1047</v>
      </c>
      <c r="E499" s="10" t="s">
        <v>65</v>
      </c>
      <c r="F499" s="10" t="s">
        <v>37</v>
      </c>
      <c r="G499" s="10">
        <v>47</v>
      </c>
      <c r="H499" s="10" t="s">
        <v>38</v>
      </c>
      <c r="I499" s="10" t="s">
        <v>21</v>
      </c>
      <c r="J499" s="10" t="s">
        <v>50</v>
      </c>
      <c r="K499" s="10" t="s">
        <v>31</v>
      </c>
      <c r="L499" s="10" t="s">
        <v>32</v>
      </c>
      <c r="M499" s="10" t="s">
        <v>52</v>
      </c>
      <c r="N499" s="10">
        <v>1</v>
      </c>
      <c r="O499" s="10">
        <v>24238</v>
      </c>
      <c r="P499" s="10">
        <v>23026.1</v>
      </c>
      <c r="Q499" s="12">
        <v>4219.16</v>
      </c>
      <c r="R499" s="17">
        <f t="shared" si="7"/>
        <v>0.18323380859112051</v>
      </c>
    </row>
    <row r="500" spans="2:18" x14ac:dyDescent="0.3">
      <c r="B500" s="20" t="s">
        <v>1048</v>
      </c>
      <c r="C500" s="8">
        <v>45314</v>
      </c>
      <c r="D500" s="7" t="s">
        <v>1049</v>
      </c>
      <c r="E500" s="7" t="s">
        <v>65</v>
      </c>
      <c r="F500" s="7" t="s">
        <v>37</v>
      </c>
      <c r="G500" s="7">
        <v>19</v>
      </c>
      <c r="H500" s="7" t="s">
        <v>29</v>
      </c>
      <c r="I500" s="7" t="s">
        <v>46</v>
      </c>
      <c r="J500" s="7" t="s">
        <v>30</v>
      </c>
      <c r="K500" s="7" t="s">
        <v>31</v>
      </c>
      <c r="L500" s="7" t="s">
        <v>24</v>
      </c>
      <c r="M500" s="7" t="s">
        <v>52</v>
      </c>
      <c r="N500" s="7">
        <v>4</v>
      </c>
      <c r="O500" s="7">
        <v>21631</v>
      </c>
      <c r="P500" s="7">
        <v>86524</v>
      </c>
      <c r="Q500" s="9">
        <v>28782.91</v>
      </c>
      <c r="R500" s="17">
        <f t="shared" si="7"/>
        <v>0.33265810642133975</v>
      </c>
    </row>
    <row r="501" spans="2:18" x14ac:dyDescent="0.3">
      <c r="B501" s="21" t="s">
        <v>1050</v>
      </c>
      <c r="C501" s="11">
        <v>45589</v>
      </c>
      <c r="D501" s="10" t="s">
        <v>1051</v>
      </c>
      <c r="E501" s="10" t="s">
        <v>93</v>
      </c>
      <c r="F501" s="10" t="s">
        <v>19</v>
      </c>
      <c r="G501" s="10">
        <v>53</v>
      </c>
      <c r="H501" s="10" t="s">
        <v>66</v>
      </c>
      <c r="I501" s="10" t="s">
        <v>21</v>
      </c>
      <c r="J501" s="10" t="s">
        <v>30</v>
      </c>
      <c r="K501" s="10" t="s">
        <v>40</v>
      </c>
      <c r="L501" s="10" t="s">
        <v>24</v>
      </c>
      <c r="M501" s="10" t="s">
        <v>33</v>
      </c>
      <c r="N501" s="10">
        <v>2</v>
      </c>
      <c r="O501" s="10">
        <v>2654</v>
      </c>
      <c r="P501" s="10">
        <v>4777.2</v>
      </c>
      <c r="Q501" s="12">
        <v>1024.1500000000001</v>
      </c>
      <c r="R501" s="17">
        <f t="shared" si="7"/>
        <v>0.21438290211839575</v>
      </c>
    </row>
    <row r="502" spans="2:18" x14ac:dyDescent="0.3">
      <c r="B502" s="20" t="s">
        <v>1052</v>
      </c>
      <c r="C502" s="8">
        <v>45433</v>
      </c>
      <c r="D502" s="7" t="s">
        <v>1053</v>
      </c>
      <c r="E502" s="7" t="s">
        <v>44</v>
      </c>
      <c r="F502" s="7" t="s">
        <v>37</v>
      </c>
      <c r="G502" s="7">
        <v>43</v>
      </c>
      <c r="H502" s="7" t="s">
        <v>56</v>
      </c>
      <c r="I502" s="7" t="s">
        <v>21</v>
      </c>
      <c r="J502" s="7" t="s">
        <v>30</v>
      </c>
      <c r="K502" s="7" t="s">
        <v>31</v>
      </c>
      <c r="L502" s="7" t="s">
        <v>60</v>
      </c>
      <c r="M502" s="7" t="s">
        <v>52</v>
      </c>
      <c r="N502" s="7">
        <v>1</v>
      </c>
      <c r="O502" s="7">
        <v>3423</v>
      </c>
      <c r="P502" s="7">
        <v>2909.55</v>
      </c>
      <c r="Q502" s="9">
        <v>842.79</v>
      </c>
      <c r="R502" s="17">
        <f t="shared" si="7"/>
        <v>0.2896633500025777</v>
      </c>
    </row>
    <row r="503" spans="2:18" x14ac:dyDescent="0.3">
      <c r="B503" s="21" t="s">
        <v>1054</v>
      </c>
      <c r="C503" s="11">
        <v>45604</v>
      </c>
      <c r="D503" s="10" t="s">
        <v>1055</v>
      </c>
      <c r="E503" s="10" t="s">
        <v>76</v>
      </c>
      <c r="F503" s="10" t="s">
        <v>37</v>
      </c>
      <c r="G503" s="10">
        <v>28</v>
      </c>
      <c r="H503" s="10" t="s">
        <v>45</v>
      </c>
      <c r="I503" s="10" t="s">
        <v>21</v>
      </c>
      <c r="J503" s="10" t="s">
        <v>50</v>
      </c>
      <c r="K503" s="10" t="s">
        <v>51</v>
      </c>
      <c r="L503" s="10" t="s">
        <v>60</v>
      </c>
      <c r="M503" s="10" t="s">
        <v>52</v>
      </c>
      <c r="N503" s="10">
        <v>4</v>
      </c>
      <c r="O503" s="10">
        <v>2253</v>
      </c>
      <c r="P503" s="10">
        <v>7209.6</v>
      </c>
      <c r="Q503" s="12">
        <v>1435.11</v>
      </c>
      <c r="R503" s="17">
        <f t="shared" si="7"/>
        <v>0.19905542609853527</v>
      </c>
    </row>
    <row r="504" spans="2:18" x14ac:dyDescent="0.3">
      <c r="B504" s="20" t="s">
        <v>1056</v>
      </c>
      <c r="C504" s="8">
        <v>45498</v>
      </c>
      <c r="D504" s="7" t="s">
        <v>1057</v>
      </c>
      <c r="E504" s="7" t="s">
        <v>76</v>
      </c>
      <c r="F504" s="7" t="s">
        <v>19</v>
      </c>
      <c r="G504" s="7">
        <v>44</v>
      </c>
      <c r="H504" s="7" t="s">
        <v>20</v>
      </c>
      <c r="I504" s="7" t="s">
        <v>46</v>
      </c>
      <c r="J504" s="7" t="s">
        <v>22</v>
      </c>
      <c r="K504" s="7" t="s">
        <v>40</v>
      </c>
      <c r="L504" s="7" t="s">
        <v>47</v>
      </c>
      <c r="M504" s="7" t="s">
        <v>41</v>
      </c>
      <c r="N504" s="7">
        <v>2</v>
      </c>
      <c r="O504" s="7">
        <v>49614</v>
      </c>
      <c r="P504" s="7">
        <v>84343.8</v>
      </c>
      <c r="Q504" s="9">
        <v>27655.22</v>
      </c>
      <c r="R504" s="17">
        <f t="shared" si="7"/>
        <v>0.3278868156284161</v>
      </c>
    </row>
    <row r="505" spans="2:18" x14ac:dyDescent="0.3">
      <c r="B505" s="21" t="s">
        <v>1058</v>
      </c>
      <c r="C505" s="11">
        <v>45648</v>
      </c>
      <c r="D505" s="10" t="s">
        <v>1059</v>
      </c>
      <c r="E505" s="10" t="s">
        <v>55</v>
      </c>
      <c r="F505" s="10" t="s">
        <v>19</v>
      </c>
      <c r="G505" s="10">
        <v>29</v>
      </c>
      <c r="H505" s="10" t="s">
        <v>56</v>
      </c>
      <c r="I505" s="10" t="s">
        <v>21</v>
      </c>
      <c r="J505" s="10" t="s">
        <v>30</v>
      </c>
      <c r="K505" s="10" t="s">
        <v>51</v>
      </c>
      <c r="L505" s="10" t="s">
        <v>24</v>
      </c>
      <c r="M505" s="10" t="s">
        <v>52</v>
      </c>
      <c r="N505" s="10">
        <v>2</v>
      </c>
      <c r="O505" s="10">
        <v>25300</v>
      </c>
      <c r="P505" s="10">
        <v>40480</v>
      </c>
      <c r="Q505" s="12">
        <v>9590.7099999999991</v>
      </c>
      <c r="R505" s="17">
        <f t="shared" si="7"/>
        <v>0.23692465415019762</v>
      </c>
    </row>
    <row r="506" spans="2:18" x14ac:dyDescent="0.3">
      <c r="B506" s="20" t="s">
        <v>1060</v>
      </c>
      <c r="C506" s="8">
        <v>45657</v>
      </c>
      <c r="D506" s="7" t="s">
        <v>1061</v>
      </c>
      <c r="E506" s="7" t="s">
        <v>18</v>
      </c>
      <c r="F506" s="7" t="s">
        <v>37</v>
      </c>
      <c r="G506" s="7">
        <v>24</v>
      </c>
      <c r="H506" s="7" t="s">
        <v>66</v>
      </c>
      <c r="I506" s="7" t="s">
        <v>21</v>
      </c>
      <c r="J506" s="7" t="s">
        <v>22</v>
      </c>
      <c r="K506" s="7" t="s">
        <v>23</v>
      </c>
      <c r="L506" s="7" t="s">
        <v>47</v>
      </c>
      <c r="M506" s="7" t="s">
        <v>25</v>
      </c>
      <c r="N506" s="7">
        <v>2</v>
      </c>
      <c r="O506" s="7">
        <v>35491</v>
      </c>
      <c r="P506" s="7">
        <v>63883.8</v>
      </c>
      <c r="Q506" s="9">
        <v>21729.85</v>
      </c>
      <c r="R506" s="17">
        <f t="shared" si="7"/>
        <v>0.34014648471130393</v>
      </c>
    </row>
    <row r="507" spans="2:18" x14ac:dyDescent="0.3">
      <c r="B507" s="21" t="s">
        <v>1062</v>
      </c>
      <c r="C507" s="11">
        <v>45626</v>
      </c>
      <c r="D507" s="10" t="s">
        <v>1063</v>
      </c>
      <c r="E507" s="10" t="s">
        <v>18</v>
      </c>
      <c r="F507" s="10" t="s">
        <v>37</v>
      </c>
      <c r="G507" s="10">
        <v>56</v>
      </c>
      <c r="H507" s="10" t="s">
        <v>66</v>
      </c>
      <c r="I507" s="10" t="s">
        <v>39</v>
      </c>
      <c r="J507" s="10" t="s">
        <v>30</v>
      </c>
      <c r="K507" s="10" t="s">
        <v>31</v>
      </c>
      <c r="L507" s="10" t="s">
        <v>32</v>
      </c>
      <c r="M507" s="10" t="s">
        <v>25</v>
      </c>
      <c r="N507" s="10">
        <v>2</v>
      </c>
      <c r="O507" s="10">
        <v>28985</v>
      </c>
      <c r="P507" s="10">
        <v>55071.5</v>
      </c>
      <c r="Q507" s="12">
        <v>10443.14</v>
      </c>
      <c r="R507" s="17">
        <f t="shared" si="7"/>
        <v>0.18962875534532381</v>
      </c>
    </row>
    <row r="508" spans="2:18" x14ac:dyDescent="0.3">
      <c r="B508" s="20" t="s">
        <v>1064</v>
      </c>
      <c r="C508" s="8">
        <v>45357</v>
      </c>
      <c r="D508" s="7" t="s">
        <v>1065</v>
      </c>
      <c r="E508" s="7" t="s">
        <v>28</v>
      </c>
      <c r="F508" s="7" t="s">
        <v>37</v>
      </c>
      <c r="G508" s="7">
        <v>21</v>
      </c>
      <c r="H508" s="7" t="s">
        <v>20</v>
      </c>
      <c r="I508" s="7" t="s">
        <v>21</v>
      </c>
      <c r="J508" s="7" t="s">
        <v>50</v>
      </c>
      <c r="K508" s="7" t="s">
        <v>40</v>
      </c>
      <c r="L508" s="7" t="s">
        <v>60</v>
      </c>
      <c r="M508" s="7" t="s">
        <v>41</v>
      </c>
      <c r="N508" s="7">
        <v>1</v>
      </c>
      <c r="O508" s="7">
        <v>34205</v>
      </c>
      <c r="P508" s="7">
        <v>27364</v>
      </c>
      <c r="Q508" s="9">
        <v>7496.92</v>
      </c>
      <c r="R508" s="17">
        <f t="shared" si="7"/>
        <v>0.27397017979827509</v>
      </c>
    </row>
    <row r="509" spans="2:18" x14ac:dyDescent="0.3">
      <c r="B509" s="21" t="s">
        <v>1066</v>
      </c>
      <c r="C509" s="11">
        <v>45314</v>
      </c>
      <c r="D509" s="10" t="s">
        <v>1067</v>
      </c>
      <c r="E509" s="10" t="s">
        <v>44</v>
      </c>
      <c r="F509" s="10" t="s">
        <v>19</v>
      </c>
      <c r="G509" s="10">
        <v>45</v>
      </c>
      <c r="H509" s="10" t="s">
        <v>29</v>
      </c>
      <c r="I509" s="10" t="s">
        <v>21</v>
      </c>
      <c r="J509" s="10" t="s">
        <v>22</v>
      </c>
      <c r="K509" s="10" t="s">
        <v>51</v>
      </c>
      <c r="L509" s="10" t="s">
        <v>60</v>
      </c>
      <c r="M509" s="10" t="s">
        <v>33</v>
      </c>
      <c r="N509" s="10">
        <v>5</v>
      </c>
      <c r="O509" s="10">
        <v>27152</v>
      </c>
      <c r="P509" s="10">
        <v>108608</v>
      </c>
      <c r="Q509" s="12">
        <v>31377.16</v>
      </c>
      <c r="R509" s="17">
        <f t="shared" si="7"/>
        <v>0.28890284325279908</v>
      </c>
    </row>
    <row r="510" spans="2:18" x14ac:dyDescent="0.3">
      <c r="B510" s="20" t="s">
        <v>1068</v>
      </c>
      <c r="C510" s="8">
        <v>45514</v>
      </c>
      <c r="D510" s="7" t="s">
        <v>1069</v>
      </c>
      <c r="E510" s="7" t="s">
        <v>65</v>
      </c>
      <c r="F510" s="7" t="s">
        <v>19</v>
      </c>
      <c r="G510" s="7">
        <v>34</v>
      </c>
      <c r="H510" s="7" t="s">
        <v>45</v>
      </c>
      <c r="I510" s="7" t="s">
        <v>39</v>
      </c>
      <c r="J510" s="7" t="s">
        <v>50</v>
      </c>
      <c r="K510" s="7" t="s">
        <v>23</v>
      </c>
      <c r="L510" s="7" t="s">
        <v>80</v>
      </c>
      <c r="M510" s="7" t="s">
        <v>52</v>
      </c>
      <c r="N510" s="7">
        <v>4</v>
      </c>
      <c r="O510" s="7">
        <v>6646</v>
      </c>
      <c r="P510" s="7">
        <v>23925.599999999999</v>
      </c>
      <c r="Q510" s="9">
        <v>5329.22</v>
      </c>
      <c r="R510" s="17">
        <f t="shared" si="7"/>
        <v>0.22274133146086203</v>
      </c>
    </row>
    <row r="511" spans="2:18" x14ac:dyDescent="0.3">
      <c r="B511" s="21" t="s">
        <v>1070</v>
      </c>
      <c r="C511" s="11">
        <v>45344</v>
      </c>
      <c r="D511" s="10" t="s">
        <v>1071</v>
      </c>
      <c r="E511" s="10" t="s">
        <v>93</v>
      </c>
      <c r="F511" s="10" t="s">
        <v>37</v>
      </c>
      <c r="G511" s="10">
        <v>59</v>
      </c>
      <c r="H511" s="10" t="s">
        <v>45</v>
      </c>
      <c r="I511" s="10" t="s">
        <v>21</v>
      </c>
      <c r="J511" s="10" t="s">
        <v>50</v>
      </c>
      <c r="K511" s="10" t="s">
        <v>51</v>
      </c>
      <c r="L511" s="10" t="s">
        <v>47</v>
      </c>
      <c r="M511" s="10" t="s">
        <v>41</v>
      </c>
      <c r="N511" s="10">
        <v>3</v>
      </c>
      <c r="O511" s="10">
        <v>31875</v>
      </c>
      <c r="P511" s="10">
        <v>95625</v>
      </c>
      <c r="Q511" s="12">
        <v>28271.7</v>
      </c>
      <c r="R511" s="17">
        <f t="shared" si="7"/>
        <v>0.29565176470588234</v>
      </c>
    </row>
    <row r="512" spans="2:18" x14ac:dyDescent="0.3">
      <c r="B512" s="20" t="s">
        <v>1072</v>
      </c>
      <c r="C512" s="8">
        <v>45380</v>
      </c>
      <c r="D512" s="7" t="s">
        <v>1073</v>
      </c>
      <c r="E512" s="7" t="s">
        <v>79</v>
      </c>
      <c r="F512" s="7" t="s">
        <v>19</v>
      </c>
      <c r="G512" s="7">
        <v>38</v>
      </c>
      <c r="H512" s="7" t="s">
        <v>29</v>
      </c>
      <c r="I512" s="7" t="s">
        <v>21</v>
      </c>
      <c r="J512" s="7" t="s">
        <v>22</v>
      </c>
      <c r="K512" s="7" t="s">
        <v>51</v>
      </c>
      <c r="L512" s="7" t="s">
        <v>32</v>
      </c>
      <c r="M512" s="7" t="s">
        <v>52</v>
      </c>
      <c r="N512" s="7">
        <v>2</v>
      </c>
      <c r="O512" s="7">
        <v>8044</v>
      </c>
      <c r="P512" s="7">
        <v>13674.8</v>
      </c>
      <c r="Q512" s="9">
        <v>5174.91</v>
      </c>
      <c r="R512" s="17">
        <f t="shared" si="7"/>
        <v>0.37842674115892005</v>
      </c>
    </row>
    <row r="513" spans="2:18" x14ac:dyDescent="0.3">
      <c r="B513" s="21" t="s">
        <v>1074</v>
      </c>
      <c r="C513" s="11">
        <v>45627</v>
      </c>
      <c r="D513" s="10" t="s">
        <v>1075</v>
      </c>
      <c r="E513" s="10" t="s">
        <v>76</v>
      </c>
      <c r="F513" s="10" t="s">
        <v>37</v>
      </c>
      <c r="G513" s="10">
        <v>35</v>
      </c>
      <c r="H513" s="10" t="s">
        <v>29</v>
      </c>
      <c r="I513" s="10" t="s">
        <v>21</v>
      </c>
      <c r="J513" s="10" t="s">
        <v>30</v>
      </c>
      <c r="K513" s="10" t="s">
        <v>40</v>
      </c>
      <c r="L513" s="10" t="s">
        <v>80</v>
      </c>
      <c r="M513" s="10" t="s">
        <v>52</v>
      </c>
      <c r="N513" s="10">
        <v>5</v>
      </c>
      <c r="O513" s="10">
        <v>21564</v>
      </c>
      <c r="P513" s="10">
        <v>91647</v>
      </c>
      <c r="Q513" s="12">
        <v>32575.7</v>
      </c>
      <c r="R513" s="17">
        <f t="shared" si="7"/>
        <v>0.35544753237967419</v>
      </c>
    </row>
    <row r="514" spans="2:18" x14ac:dyDescent="0.3">
      <c r="B514" s="20" t="s">
        <v>1076</v>
      </c>
      <c r="C514" s="8">
        <v>45578</v>
      </c>
      <c r="D514" s="7" t="s">
        <v>1077</v>
      </c>
      <c r="E514" s="7" t="s">
        <v>44</v>
      </c>
      <c r="F514" s="7" t="s">
        <v>19</v>
      </c>
      <c r="G514" s="7">
        <v>22</v>
      </c>
      <c r="H514" s="7" t="s">
        <v>29</v>
      </c>
      <c r="I514" s="7" t="s">
        <v>39</v>
      </c>
      <c r="J514" s="7" t="s">
        <v>50</v>
      </c>
      <c r="K514" s="7" t="s">
        <v>23</v>
      </c>
      <c r="L514" s="7" t="s">
        <v>24</v>
      </c>
      <c r="M514" s="7" t="s">
        <v>52</v>
      </c>
      <c r="N514" s="7">
        <v>5</v>
      </c>
      <c r="O514" s="7">
        <v>22577</v>
      </c>
      <c r="P514" s="7">
        <v>90308</v>
      </c>
      <c r="Q514" s="9">
        <v>24174.52</v>
      </c>
      <c r="R514" s="17">
        <f t="shared" si="7"/>
        <v>0.26768968419187672</v>
      </c>
    </row>
    <row r="515" spans="2:18" x14ac:dyDescent="0.3">
      <c r="B515" s="21" t="s">
        <v>1078</v>
      </c>
      <c r="C515" s="11">
        <v>45339</v>
      </c>
      <c r="D515" s="10" t="s">
        <v>1079</v>
      </c>
      <c r="E515" s="10" t="s">
        <v>36</v>
      </c>
      <c r="F515" s="10" t="s">
        <v>37</v>
      </c>
      <c r="G515" s="10">
        <v>45</v>
      </c>
      <c r="H515" s="10" t="s">
        <v>56</v>
      </c>
      <c r="I515" s="10" t="s">
        <v>21</v>
      </c>
      <c r="J515" s="10" t="s">
        <v>30</v>
      </c>
      <c r="K515" s="10" t="s">
        <v>23</v>
      </c>
      <c r="L515" s="10" t="s">
        <v>24</v>
      </c>
      <c r="M515" s="10" t="s">
        <v>25</v>
      </c>
      <c r="N515" s="10">
        <v>3</v>
      </c>
      <c r="O515" s="10">
        <v>1052</v>
      </c>
      <c r="P515" s="10">
        <v>3156</v>
      </c>
      <c r="Q515" s="12">
        <v>561.85</v>
      </c>
      <c r="R515" s="17">
        <f t="shared" si="7"/>
        <v>0.17802598225602029</v>
      </c>
    </row>
    <row r="516" spans="2:18" x14ac:dyDescent="0.3">
      <c r="B516" s="20" t="s">
        <v>1080</v>
      </c>
      <c r="C516" s="8">
        <v>45613</v>
      </c>
      <c r="D516" s="7" t="s">
        <v>1081</v>
      </c>
      <c r="E516" s="7" t="s">
        <v>18</v>
      </c>
      <c r="F516" s="7" t="s">
        <v>19</v>
      </c>
      <c r="G516" s="7">
        <v>49</v>
      </c>
      <c r="H516" s="7" t="s">
        <v>66</v>
      </c>
      <c r="I516" s="7" t="s">
        <v>21</v>
      </c>
      <c r="J516" s="7" t="s">
        <v>30</v>
      </c>
      <c r="K516" s="7" t="s">
        <v>69</v>
      </c>
      <c r="L516" s="7" t="s">
        <v>60</v>
      </c>
      <c r="M516" s="7" t="s">
        <v>41</v>
      </c>
      <c r="N516" s="7">
        <v>5</v>
      </c>
      <c r="O516" s="7">
        <v>18531</v>
      </c>
      <c r="P516" s="7">
        <v>83389.5</v>
      </c>
      <c r="Q516" s="9">
        <v>29275.21</v>
      </c>
      <c r="R516" s="17">
        <f t="shared" ref="R516:R579" si="8">Q516/P516</f>
        <v>0.35106590158233347</v>
      </c>
    </row>
    <row r="517" spans="2:18" x14ac:dyDescent="0.3">
      <c r="B517" s="21" t="s">
        <v>1082</v>
      </c>
      <c r="C517" s="11">
        <v>45462</v>
      </c>
      <c r="D517" s="10" t="s">
        <v>1083</v>
      </c>
      <c r="E517" s="10" t="s">
        <v>55</v>
      </c>
      <c r="F517" s="10" t="s">
        <v>37</v>
      </c>
      <c r="G517" s="10">
        <v>48</v>
      </c>
      <c r="H517" s="10" t="s">
        <v>20</v>
      </c>
      <c r="I517" s="10" t="s">
        <v>21</v>
      </c>
      <c r="J517" s="10" t="s">
        <v>30</v>
      </c>
      <c r="K517" s="10" t="s">
        <v>31</v>
      </c>
      <c r="L517" s="10" t="s">
        <v>80</v>
      </c>
      <c r="M517" s="10" t="s">
        <v>52</v>
      </c>
      <c r="N517" s="10">
        <v>5</v>
      </c>
      <c r="O517" s="10">
        <v>30444</v>
      </c>
      <c r="P517" s="10">
        <v>136998</v>
      </c>
      <c r="Q517" s="12">
        <v>31904.75</v>
      </c>
      <c r="R517" s="17">
        <f t="shared" si="8"/>
        <v>0.23288478663922102</v>
      </c>
    </row>
    <row r="518" spans="2:18" x14ac:dyDescent="0.3">
      <c r="B518" s="20" t="s">
        <v>1084</v>
      </c>
      <c r="C518" s="8">
        <v>45502</v>
      </c>
      <c r="D518" s="7" t="s">
        <v>1085</v>
      </c>
      <c r="E518" s="7" t="s">
        <v>44</v>
      </c>
      <c r="F518" s="7" t="s">
        <v>37</v>
      </c>
      <c r="G518" s="7">
        <v>24</v>
      </c>
      <c r="H518" s="7" t="s">
        <v>20</v>
      </c>
      <c r="I518" s="7" t="s">
        <v>21</v>
      </c>
      <c r="J518" s="7" t="s">
        <v>50</v>
      </c>
      <c r="K518" s="7" t="s">
        <v>69</v>
      </c>
      <c r="L518" s="7" t="s">
        <v>24</v>
      </c>
      <c r="M518" s="7" t="s">
        <v>25</v>
      </c>
      <c r="N518" s="7">
        <v>2</v>
      </c>
      <c r="O518" s="7">
        <v>2265</v>
      </c>
      <c r="P518" s="7">
        <v>3624</v>
      </c>
      <c r="Q518" s="9">
        <v>1101.02</v>
      </c>
      <c r="R518" s="17">
        <f t="shared" si="8"/>
        <v>0.30381346578366447</v>
      </c>
    </row>
    <row r="519" spans="2:18" x14ac:dyDescent="0.3">
      <c r="B519" s="21" t="s">
        <v>1086</v>
      </c>
      <c r="C519" s="11">
        <v>45494</v>
      </c>
      <c r="D519" s="10" t="s">
        <v>1087</v>
      </c>
      <c r="E519" s="10" t="s">
        <v>28</v>
      </c>
      <c r="F519" s="10" t="s">
        <v>37</v>
      </c>
      <c r="G519" s="10">
        <v>35</v>
      </c>
      <c r="H519" s="10" t="s">
        <v>45</v>
      </c>
      <c r="I519" s="10" t="s">
        <v>21</v>
      </c>
      <c r="J519" s="10" t="s">
        <v>30</v>
      </c>
      <c r="K519" s="10" t="s">
        <v>31</v>
      </c>
      <c r="L519" s="10" t="s">
        <v>60</v>
      </c>
      <c r="M519" s="10" t="s">
        <v>41</v>
      </c>
      <c r="N519" s="10">
        <v>3</v>
      </c>
      <c r="O519" s="10">
        <v>38946</v>
      </c>
      <c r="P519" s="10">
        <v>116838</v>
      </c>
      <c r="Q519" s="12">
        <v>36253.42</v>
      </c>
      <c r="R519" s="17">
        <f t="shared" si="8"/>
        <v>0.3102879200260189</v>
      </c>
    </row>
    <row r="520" spans="2:18" x14ac:dyDescent="0.3">
      <c r="B520" s="20" t="s">
        <v>1088</v>
      </c>
      <c r="C520" s="8">
        <v>45569</v>
      </c>
      <c r="D520" s="7" t="s">
        <v>1089</v>
      </c>
      <c r="E520" s="7" t="s">
        <v>18</v>
      </c>
      <c r="F520" s="7" t="s">
        <v>19</v>
      </c>
      <c r="G520" s="7">
        <v>37</v>
      </c>
      <c r="H520" s="7" t="s">
        <v>66</v>
      </c>
      <c r="I520" s="7" t="s">
        <v>21</v>
      </c>
      <c r="J520" s="7" t="s">
        <v>30</v>
      </c>
      <c r="K520" s="7" t="s">
        <v>51</v>
      </c>
      <c r="L520" s="7" t="s">
        <v>60</v>
      </c>
      <c r="M520" s="7" t="s">
        <v>41</v>
      </c>
      <c r="N520" s="7">
        <v>1</v>
      </c>
      <c r="O520" s="7">
        <v>29900</v>
      </c>
      <c r="P520" s="7">
        <v>25415</v>
      </c>
      <c r="Q520" s="9">
        <v>8816.33</v>
      </c>
      <c r="R520" s="17">
        <f t="shared" si="8"/>
        <v>0.34689474719653746</v>
      </c>
    </row>
    <row r="521" spans="2:18" x14ac:dyDescent="0.3">
      <c r="B521" s="21" t="s">
        <v>1090</v>
      </c>
      <c r="C521" s="11">
        <v>45329</v>
      </c>
      <c r="D521" s="10" t="s">
        <v>1091</v>
      </c>
      <c r="E521" s="10" t="s">
        <v>44</v>
      </c>
      <c r="F521" s="10" t="s">
        <v>19</v>
      </c>
      <c r="G521" s="10">
        <v>20</v>
      </c>
      <c r="H521" s="10" t="s">
        <v>38</v>
      </c>
      <c r="I521" s="10" t="s">
        <v>21</v>
      </c>
      <c r="J521" s="10" t="s">
        <v>50</v>
      </c>
      <c r="K521" s="10" t="s">
        <v>40</v>
      </c>
      <c r="L521" s="10" t="s">
        <v>24</v>
      </c>
      <c r="M521" s="10" t="s">
        <v>33</v>
      </c>
      <c r="N521" s="10">
        <v>2</v>
      </c>
      <c r="O521" s="10">
        <v>9030</v>
      </c>
      <c r="P521" s="10">
        <v>17157</v>
      </c>
      <c r="Q521" s="12">
        <v>6355.48</v>
      </c>
      <c r="R521" s="17">
        <f t="shared" si="8"/>
        <v>0.37043072798274757</v>
      </c>
    </row>
    <row r="522" spans="2:18" x14ac:dyDescent="0.3">
      <c r="B522" s="20" t="s">
        <v>1092</v>
      </c>
      <c r="C522" s="8">
        <v>45499</v>
      </c>
      <c r="D522" s="7" t="s">
        <v>1093</v>
      </c>
      <c r="E522" s="7" t="s">
        <v>28</v>
      </c>
      <c r="F522" s="7" t="s">
        <v>19</v>
      </c>
      <c r="G522" s="7">
        <v>22</v>
      </c>
      <c r="H522" s="7" t="s">
        <v>20</v>
      </c>
      <c r="I522" s="7" t="s">
        <v>46</v>
      </c>
      <c r="J522" s="7" t="s">
        <v>22</v>
      </c>
      <c r="K522" s="7" t="s">
        <v>31</v>
      </c>
      <c r="L522" s="7" t="s">
        <v>47</v>
      </c>
      <c r="M522" s="7" t="s">
        <v>25</v>
      </c>
      <c r="N522" s="7">
        <v>2</v>
      </c>
      <c r="O522" s="7">
        <v>48909</v>
      </c>
      <c r="P522" s="7">
        <v>78254.399999999994</v>
      </c>
      <c r="Q522" s="9">
        <v>14161.99</v>
      </c>
      <c r="R522" s="17">
        <f t="shared" si="8"/>
        <v>0.18097372160543052</v>
      </c>
    </row>
    <row r="523" spans="2:18" x14ac:dyDescent="0.3">
      <c r="B523" s="21" t="s">
        <v>1094</v>
      </c>
      <c r="C523" s="11">
        <v>45562</v>
      </c>
      <c r="D523" s="10" t="s">
        <v>1095</v>
      </c>
      <c r="E523" s="10" t="s">
        <v>93</v>
      </c>
      <c r="F523" s="10" t="s">
        <v>37</v>
      </c>
      <c r="G523" s="10">
        <v>57</v>
      </c>
      <c r="H523" s="10" t="s">
        <v>66</v>
      </c>
      <c r="I523" s="10" t="s">
        <v>21</v>
      </c>
      <c r="J523" s="10" t="s">
        <v>30</v>
      </c>
      <c r="K523" s="10" t="s">
        <v>23</v>
      </c>
      <c r="L523" s="10" t="s">
        <v>80</v>
      </c>
      <c r="M523" s="10" t="s">
        <v>41</v>
      </c>
      <c r="N523" s="10">
        <v>2</v>
      </c>
      <c r="O523" s="10">
        <v>42702</v>
      </c>
      <c r="P523" s="10">
        <v>81133.8</v>
      </c>
      <c r="Q523" s="12">
        <v>15546.04</v>
      </c>
      <c r="R523" s="17">
        <f t="shared" si="8"/>
        <v>0.19160990857078061</v>
      </c>
    </row>
    <row r="524" spans="2:18" x14ac:dyDescent="0.3">
      <c r="B524" s="20" t="s">
        <v>1096</v>
      </c>
      <c r="C524" s="8">
        <v>45598</v>
      </c>
      <c r="D524" s="7" t="s">
        <v>1097</v>
      </c>
      <c r="E524" s="7" t="s">
        <v>28</v>
      </c>
      <c r="F524" s="7" t="s">
        <v>19</v>
      </c>
      <c r="G524" s="7">
        <v>36</v>
      </c>
      <c r="H524" s="7" t="s">
        <v>29</v>
      </c>
      <c r="I524" s="7" t="s">
        <v>21</v>
      </c>
      <c r="J524" s="7" t="s">
        <v>22</v>
      </c>
      <c r="K524" s="7" t="s">
        <v>40</v>
      </c>
      <c r="L524" s="7" t="s">
        <v>32</v>
      </c>
      <c r="M524" s="7" t="s">
        <v>52</v>
      </c>
      <c r="N524" s="7">
        <v>2</v>
      </c>
      <c r="O524" s="7">
        <v>4977</v>
      </c>
      <c r="P524" s="7">
        <v>8958.6</v>
      </c>
      <c r="Q524" s="9">
        <v>1741.04</v>
      </c>
      <c r="R524" s="17">
        <f t="shared" si="8"/>
        <v>0.19434286607282386</v>
      </c>
    </row>
    <row r="525" spans="2:18" x14ac:dyDescent="0.3">
      <c r="B525" s="21" t="s">
        <v>1098</v>
      </c>
      <c r="C525" s="11">
        <v>45582</v>
      </c>
      <c r="D525" s="10" t="s">
        <v>1099</v>
      </c>
      <c r="E525" s="10" t="s">
        <v>36</v>
      </c>
      <c r="F525" s="10" t="s">
        <v>37</v>
      </c>
      <c r="G525" s="10">
        <v>27</v>
      </c>
      <c r="H525" s="10" t="s">
        <v>56</v>
      </c>
      <c r="I525" s="10" t="s">
        <v>39</v>
      </c>
      <c r="J525" s="10" t="s">
        <v>50</v>
      </c>
      <c r="K525" s="10" t="s">
        <v>23</v>
      </c>
      <c r="L525" s="10" t="s">
        <v>80</v>
      </c>
      <c r="M525" s="10" t="s">
        <v>33</v>
      </c>
      <c r="N525" s="10">
        <v>3</v>
      </c>
      <c r="O525" s="10">
        <v>5078</v>
      </c>
      <c r="P525" s="10">
        <v>15234</v>
      </c>
      <c r="Q525" s="12">
        <v>3581.59</v>
      </c>
      <c r="R525" s="17">
        <f t="shared" si="8"/>
        <v>0.23510502822633583</v>
      </c>
    </row>
    <row r="526" spans="2:18" x14ac:dyDescent="0.3">
      <c r="B526" s="20" t="s">
        <v>1100</v>
      </c>
      <c r="C526" s="8">
        <v>45446</v>
      </c>
      <c r="D526" s="7" t="s">
        <v>1101</v>
      </c>
      <c r="E526" s="7" t="s">
        <v>28</v>
      </c>
      <c r="F526" s="7" t="s">
        <v>19</v>
      </c>
      <c r="G526" s="7">
        <v>49</v>
      </c>
      <c r="H526" s="7" t="s">
        <v>38</v>
      </c>
      <c r="I526" s="7" t="s">
        <v>21</v>
      </c>
      <c r="J526" s="7" t="s">
        <v>30</v>
      </c>
      <c r="K526" s="7" t="s">
        <v>23</v>
      </c>
      <c r="L526" s="7" t="s">
        <v>32</v>
      </c>
      <c r="M526" s="7" t="s">
        <v>52</v>
      </c>
      <c r="N526" s="7">
        <v>4</v>
      </c>
      <c r="O526" s="7">
        <v>34401</v>
      </c>
      <c r="P526" s="7">
        <v>116963.4</v>
      </c>
      <c r="Q526" s="9">
        <v>18695.53</v>
      </c>
      <c r="R526" s="17">
        <f t="shared" si="8"/>
        <v>0.15984085619946067</v>
      </c>
    </row>
    <row r="527" spans="2:18" x14ac:dyDescent="0.3">
      <c r="B527" s="21" t="s">
        <v>1102</v>
      </c>
      <c r="C527" s="11">
        <v>45639</v>
      </c>
      <c r="D527" s="10" t="s">
        <v>1103</v>
      </c>
      <c r="E527" s="10" t="s">
        <v>36</v>
      </c>
      <c r="F527" s="10" t="s">
        <v>37</v>
      </c>
      <c r="G527" s="10">
        <v>39</v>
      </c>
      <c r="H527" s="10" t="s">
        <v>29</v>
      </c>
      <c r="I527" s="10" t="s">
        <v>21</v>
      </c>
      <c r="J527" s="10" t="s">
        <v>30</v>
      </c>
      <c r="K527" s="10" t="s">
        <v>23</v>
      </c>
      <c r="L527" s="10" t="s">
        <v>24</v>
      </c>
      <c r="M527" s="10" t="s">
        <v>25</v>
      </c>
      <c r="N527" s="10">
        <v>4</v>
      </c>
      <c r="O527" s="10">
        <v>20226</v>
      </c>
      <c r="P527" s="10">
        <v>80904</v>
      </c>
      <c r="Q527" s="12">
        <v>31545.29</v>
      </c>
      <c r="R527" s="17">
        <f t="shared" si="8"/>
        <v>0.38991014041332939</v>
      </c>
    </row>
    <row r="528" spans="2:18" x14ac:dyDescent="0.3">
      <c r="B528" s="20" t="s">
        <v>1104</v>
      </c>
      <c r="C528" s="8">
        <v>45330</v>
      </c>
      <c r="D528" s="7" t="s">
        <v>1105</v>
      </c>
      <c r="E528" s="7" t="s">
        <v>44</v>
      </c>
      <c r="F528" s="7" t="s">
        <v>37</v>
      </c>
      <c r="G528" s="7">
        <v>41</v>
      </c>
      <c r="H528" s="7" t="s">
        <v>29</v>
      </c>
      <c r="I528" s="7" t="s">
        <v>21</v>
      </c>
      <c r="J528" s="7" t="s">
        <v>30</v>
      </c>
      <c r="K528" s="7" t="s">
        <v>69</v>
      </c>
      <c r="L528" s="7" t="s">
        <v>80</v>
      </c>
      <c r="M528" s="7" t="s">
        <v>52</v>
      </c>
      <c r="N528" s="7">
        <v>2</v>
      </c>
      <c r="O528" s="7">
        <v>41412</v>
      </c>
      <c r="P528" s="7">
        <v>66259.199999999997</v>
      </c>
      <c r="Q528" s="9">
        <v>21432.48</v>
      </c>
      <c r="R528" s="17">
        <f t="shared" si="8"/>
        <v>0.32346421327151553</v>
      </c>
    </row>
    <row r="529" spans="2:18" x14ac:dyDescent="0.3">
      <c r="B529" s="21" t="s">
        <v>1106</v>
      </c>
      <c r="C529" s="11">
        <v>45333</v>
      </c>
      <c r="D529" s="10" t="s">
        <v>1107</v>
      </c>
      <c r="E529" s="10" t="s">
        <v>59</v>
      </c>
      <c r="F529" s="10" t="s">
        <v>19</v>
      </c>
      <c r="G529" s="10">
        <v>28</v>
      </c>
      <c r="H529" s="10" t="s">
        <v>38</v>
      </c>
      <c r="I529" s="10" t="s">
        <v>21</v>
      </c>
      <c r="J529" s="10" t="s">
        <v>22</v>
      </c>
      <c r="K529" s="10" t="s">
        <v>51</v>
      </c>
      <c r="L529" s="10" t="s">
        <v>80</v>
      </c>
      <c r="M529" s="10" t="s">
        <v>52</v>
      </c>
      <c r="N529" s="10">
        <v>4</v>
      </c>
      <c r="O529" s="10">
        <v>49316</v>
      </c>
      <c r="P529" s="10">
        <v>197264</v>
      </c>
      <c r="Q529" s="12">
        <v>64052.639999999999</v>
      </c>
      <c r="R529" s="17">
        <f t="shared" si="8"/>
        <v>0.32470516668018495</v>
      </c>
    </row>
    <row r="530" spans="2:18" x14ac:dyDescent="0.3">
      <c r="B530" s="20" t="s">
        <v>1108</v>
      </c>
      <c r="C530" s="8">
        <v>45597</v>
      </c>
      <c r="D530" s="7" t="s">
        <v>1109</v>
      </c>
      <c r="E530" s="7" t="s">
        <v>44</v>
      </c>
      <c r="F530" s="7" t="s">
        <v>19</v>
      </c>
      <c r="G530" s="7">
        <v>33</v>
      </c>
      <c r="H530" s="7" t="s">
        <v>38</v>
      </c>
      <c r="I530" s="7" t="s">
        <v>21</v>
      </c>
      <c r="J530" s="7" t="s">
        <v>22</v>
      </c>
      <c r="K530" s="7" t="s">
        <v>69</v>
      </c>
      <c r="L530" s="7" t="s">
        <v>80</v>
      </c>
      <c r="M530" s="7" t="s">
        <v>33</v>
      </c>
      <c r="N530" s="7">
        <v>5</v>
      </c>
      <c r="O530" s="7">
        <v>46613</v>
      </c>
      <c r="P530" s="7">
        <v>198105.25</v>
      </c>
      <c r="Q530" s="9">
        <v>75787.16</v>
      </c>
      <c r="R530" s="17">
        <f t="shared" si="8"/>
        <v>0.38256007854410723</v>
      </c>
    </row>
    <row r="531" spans="2:18" x14ac:dyDescent="0.3">
      <c r="B531" s="21" t="s">
        <v>1110</v>
      </c>
      <c r="C531" s="11">
        <v>45449</v>
      </c>
      <c r="D531" s="10" t="s">
        <v>1111</v>
      </c>
      <c r="E531" s="10" t="s">
        <v>59</v>
      </c>
      <c r="F531" s="10" t="s">
        <v>37</v>
      </c>
      <c r="G531" s="10">
        <v>41</v>
      </c>
      <c r="H531" s="10" t="s">
        <v>29</v>
      </c>
      <c r="I531" s="10" t="s">
        <v>21</v>
      </c>
      <c r="J531" s="10" t="s">
        <v>30</v>
      </c>
      <c r="K531" s="10" t="s">
        <v>23</v>
      </c>
      <c r="L531" s="10" t="s">
        <v>47</v>
      </c>
      <c r="M531" s="10" t="s">
        <v>52</v>
      </c>
      <c r="N531" s="10">
        <v>5</v>
      </c>
      <c r="O531" s="10">
        <v>38742</v>
      </c>
      <c r="P531" s="10">
        <v>154968</v>
      </c>
      <c r="Q531" s="12">
        <v>61043.28</v>
      </c>
      <c r="R531" s="17">
        <f t="shared" si="8"/>
        <v>0.39390893603840793</v>
      </c>
    </row>
    <row r="532" spans="2:18" x14ac:dyDescent="0.3">
      <c r="B532" s="20" t="s">
        <v>1112</v>
      </c>
      <c r="C532" s="8">
        <v>45618</v>
      </c>
      <c r="D532" s="7" t="s">
        <v>1113</v>
      </c>
      <c r="E532" s="7" t="s">
        <v>36</v>
      </c>
      <c r="F532" s="7" t="s">
        <v>37</v>
      </c>
      <c r="G532" s="7">
        <v>19</v>
      </c>
      <c r="H532" s="7" t="s">
        <v>56</v>
      </c>
      <c r="I532" s="7" t="s">
        <v>39</v>
      </c>
      <c r="J532" s="7" t="s">
        <v>22</v>
      </c>
      <c r="K532" s="7" t="s">
        <v>23</v>
      </c>
      <c r="L532" s="7" t="s">
        <v>80</v>
      </c>
      <c r="M532" s="7" t="s">
        <v>41</v>
      </c>
      <c r="N532" s="7">
        <v>5</v>
      </c>
      <c r="O532" s="7">
        <v>49426</v>
      </c>
      <c r="P532" s="7">
        <v>222417</v>
      </c>
      <c r="Q532" s="9">
        <v>59047.53</v>
      </c>
      <c r="R532" s="17">
        <f t="shared" si="8"/>
        <v>0.26548119073631959</v>
      </c>
    </row>
    <row r="533" spans="2:18" x14ac:dyDescent="0.3">
      <c r="B533" s="21" t="s">
        <v>1114</v>
      </c>
      <c r="C533" s="11">
        <v>45366</v>
      </c>
      <c r="D533" s="10" t="s">
        <v>1115</v>
      </c>
      <c r="E533" s="10" t="s">
        <v>55</v>
      </c>
      <c r="F533" s="10" t="s">
        <v>37</v>
      </c>
      <c r="G533" s="10">
        <v>43</v>
      </c>
      <c r="H533" s="10" t="s">
        <v>38</v>
      </c>
      <c r="I533" s="10" t="s">
        <v>39</v>
      </c>
      <c r="J533" s="10" t="s">
        <v>50</v>
      </c>
      <c r="K533" s="10" t="s">
        <v>40</v>
      </c>
      <c r="L533" s="10" t="s">
        <v>47</v>
      </c>
      <c r="M533" s="10" t="s">
        <v>41</v>
      </c>
      <c r="N533" s="10">
        <v>4</v>
      </c>
      <c r="O533" s="10">
        <v>32910</v>
      </c>
      <c r="P533" s="10">
        <v>131640</v>
      </c>
      <c r="Q533" s="12">
        <v>28708.11</v>
      </c>
      <c r="R533" s="17">
        <f t="shared" si="8"/>
        <v>0.21808044667274384</v>
      </c>
    </row>
    <row r="534" spans="2:18" x14ac:dyDescent="0.3">
      <c r="B534" s="20" t="s">
        <v>1116</v>
      </c>
      <c r="C534" s="8">
        <v>45542</v>
      </c>
      <c r="D534" s="7" t="s">
        <v>1117</v>
      </c>
      <c r="E534" s="7" t="s">
        <v>59</v>
      </c>
      <c r="F534" s="7" t="s">
        <v>19</v>
      </c>
      <c r="G534" s="7">
        <v>19</v>
      </c>
      <c r="H534" s="7" t="s">
        <v>38</v>
      </c>
      <c r="I534" s="7" t="s">
        <v>46</v>
      </c>
      <c r="J534" s="7" t="s">
        <v>30</v>
      </c>
      <c r="K534" s="7" t="s">
        <v>31</v>
      </c>
      <c r="L534" s="7" t="s">
        <v>47</v>
      </c>
      <c r="M534" s="7" t="s">
        <v>25</v>
      </c>
      <c r="N534" s="7">
        <v>1</v>
      </c>
      <c r="O534" s="7">
        <v>20909</v>
      </c>
      <c r="P534" s="7">
        <v>17772.650000000001</v>
      </c>
      <c r="Q534" s="9">
        <v>3920.34</v>
      </c>
      <c r="R534" s="17">
        <f t="shared" si="8"/>
        <v>0.22058274933676181</v>
      </c>
    </row>
    <row r="535" spans="2:18" x14ac:dyDescent="0.3">
      <c r="B535" s="21" t="s">
        <v>1118</v>
      </c>
      <c r="C535" s="11">
        <v>45376</v>
      </c>
      <c r="D535" s="10" t="s">
        <v>1119</v>
      </c>
      <c r="E535" s="10" t="s">
        <v>55</v>
      </c>
      <c r="F535" s="10" t="s">
        <v>19</v>
      </c>
      <c r="G535" s="10">
        <v>30</v>
      </c>
      <c r="H535" s="10" t="s">
        <v>29</v>
      </c>
      <c r="I535" s="10" t="s">
        <v>21</v>
      </c>
      <c r="J535" s="10" t="s">
        <v>22</v>
      </c>
      <c r="K535" s="10" t="s">
        <v>31</v>
      </c>
      <c r="L535" s="10" t="s">
        <v>24</v>
      </c>
      <c r="M535" s="10" t="s">
        <v>52</v>
      </c>
      <c r="N535" s="10">
        <v>4</v>
      </c>
      <c r="O535" s="10">
        <v>37748</v>
      </c>
      <c r="P535" s="10">
        <v>120793.60000000001</v>
      </c>
      <c r="Q535" s="12">
        <v>18573.61</v>
      </c>
      <c r="R535" s="17">
        <f t="shared" si="8"/>
        <v>0.15376319606336758</v>
      </c>
    </row>
    <row r="536" spans="2:18" x14ac:dyDescent="0.3">
      <c r="B536" s="20" t="s">
        <v>1120</v>
      </c>
      <c r="C536" s="8">
        <v>45434</v>
      </c>
      <c r="D536" s="7" t="s">
        <v>1121</v>
      </c>
      <c r="E536" s="7" t="s">
        <v>59</v>
      </c>
      <c r="F536" s="7" t="s">
        <v>19</v>
      </c>
      <c r="G536" s="7">
        <v>22</v>
      </c>
      <c r="H536" s="7" t="s">
        <v>45</v>
      </c>
      <c r="I536" s="7" t="s">
        <v>39</v>
      </c>
      <c r="J536" s="7" t="s">
        <v>22</v>
      </c>
      <c r="K536" s="7" t="s">
        <v>51</v>
      </c>
      <c r="L536" s="7" t="s">
        <v>47</v>
      </c>
      <c r="M536" s="7" t="s">
        <v>33</v>
      </c>
      <c r="N536" s="7">
        <v>2</v>
      </c>
      <c r="O536" s="7">
        <v>14899</v>
      </c>
      <c r="P536" s="7">
        <v>29798</v>
      </c>
      <c r="Q536" s="9">
        <v>6443.93</v>
      </c>
      <c r="R536" s="17">
        <f t="shared" si="8"/>
        <v>0.21625377542116922</v>
      </c>
    </row>
    <row r="537" spans="2:18" x14ac:dyDescent="0.3">
      <c r="B537" s="21" t="s">
        <v>1122</v>
      </c>
      <c r="C537" s="11">
        <v>45489</v>
      </c>
      <c r="D537" s="10" t="s">
        <v>1123</v>
      </c>
      <c r="E537" s="10" t="s">
        <v>18</v>
      </c>
      <c r="F537" s="10" t="s">
        <v>19</v>
      </c>
      <c r="G537" s="10">
        <v>23</v>
      </c>
      <c r="H537" s="10" t="s">
        <v>20</v>
      </c>
      <c r="I537" s="10" t="s">
        <v>46</v>
      </c>
      <c r="J537" s="10" t="s">
        <v>30</v>
      </c>
      <c r="K537" s="10" t="s">
        <v>69</v>
      </c>
      <c r="L537" s="10" t="s">
        <v>47</v>
      </c>
      <c r="M537" s="10" t="s">
        <v>33</v>
      </c>
      <c r="N537" s="10">
        <v>2</v>
      </c>
      <c r="O537" s="10">
        <v>12998</v>
      </c>
      <c r="P537" s="10">
        <v>24696.2</v>
      </c>
      <c r="Q537" s="12">
        <v>9049.77</v>
      </c>
      <c r="R537" s="17">
        <f t="shared" si="8"/>
        <v>0.36644382536584574</v>
      </c>
    </row>
    <row r="538" spans="2:18" x14ac:dyDescent="0.3">
      <c r="B538" s="20" t="s">
        <v>1124</v>
      </c>
      <c r="C538" s="8">
        <v>45437</v>
      </c>
      <c r="D538" s="7" t="s">
        <v>1125</v>
      </c>
      <c r="E538" s="7" t="s">
        <v>28</v>
      </c>
      <c r="F538" s="7" t="s">
        <v>37</v>
      </c>
      <c r="G538" s="7">
        <v>36</v>
      </c>
      <c r="H538" s="7" t="s">
        <v>38</v>
      </c>
      <c r="I538" s="7" t="s">
        <v>46</v>
      </c>
      <c r="J538" s="7" t="s">
        <v>22</v>
      </c>
      <c r="K538" s="7" t="s">
        <v>69</v>
      </c>
      <c r="L538" s="7" t="s">
        <v>47</v>
      </c>
      <c r="M538" s="7" t="s">
        <v>33</v>
      </c>
      <c r="N538" s="7">
        <v>1</v>
      </c>
      <c r="O538" s="7">
        <v>16661</v>
      </c>
      <c r="P538" s="7">
        <v>14161.85</v>
      </c>
      <c r="Q538" s="9">
        <v>3365.64</v>
      </c>
      <c r="R538" s="17">
        <f t="shared" si="8"/>
        <v>0.23765539106825731</v>
      </c>
    </row>
    <row r="539" spans="2:18" x14ac:dyDescent="0.3">
      <c r="B539" s="21" t="s">
        <v>1126</v>
      </c>
      <c r="C539" s="11">
        <v>45505</v>
      </c>
      <c r="D539" s="10" t="s">
        <v>1127</v>
      </c>
      <c r="E539" s="10" t="s">
        <v>93</v>
      </c>
      <c r="F539" s="10" t="s">
        <v>19</v>
      </c>
      <c r="G539" s="10">
        <v>39</v>
      </c>
      <c r="H539" s="10" t="s">
        <v>56</v>
      </c>
      <c r="I539" s="10" t="s">
        <v>39</v>
      </c>
      <c r="J539" s="10" t="s">
        <v>50</v>
      </c>
      <c r="K539" s="10" t="s">
        <v>69</v>
      </c>
      <c r="L539" s="10" t="s">
        <v>80</v>
      </c>
      <c r="M539" s="10" t="s">
        <v>52</v>
      </c>
      <c r="N539" s="10">
        <v>3</v>
      </c>
      <c r="O539" s="10">
        <v>6435</v>
      </c>
      <c r="P539" s="10">
        <v>19305</v>
      </c>
      <c r="Q539" s="12">
        <v>2929.92</v>
      </c>
      <c r="R539" s="17">
        <f t="shared" si="8"/>
        <v>0.15177000777000776</v>
      </c>
    </row>
    <row r="540" spans="2:18" x14ac:dyDescent="0.3">
      <c r="B540" s="20" t="s">
        <v>1128</v>
      </c>
      <c r="C540" s="8">
        <v>45587</v>
      </c>
      <c r="D540" s="7" t="s">
        <v>1129</v>
      </c>
      <c r="E540" s="7" t="s">
        <v>65</v>
      </c>
      <c r="F540" s="7" t="s">
        <v>37</v>
      </c>
      <c r="G540" s="7">
        <v>23</v>
      </c>
      <c r="H540" s="7" t="s">
        <v>29</v>
      </c>
      <c r="I540" s="7" t="s">
        <v>39</v>
      </c>
      <c r="J540" s="7" t="s">
        <v>50</v>
      </c>
      <c r="K540" s="7" t="s">
        <v>69</v>
      </c>
      <c r="L540" s="7" t="s">
        <v>60</v>
      </c>
      <c r="M540" s="7" t="s">
        <v>25</v>
      </c>
      <c r="N540" s="7">
        <v>2</v>
      </c>
      <c r="O540" s="7">
        <v>22711</v>
      </c>
      <c r="P540" s="7">
        <v>45422</v>
      </c>
      <c r="Q540" s="9">
        <v>7755.1</v>
      </c>
      <c r="R540" s="17">
        <f t="shared" si="8"/>
        <v>0.17073444586323808</v>
      </c>
    </row>
    <row r="541" spans="2:18" x14ac:dyDescent="0.3">
      <c r="B541" s="21" t="s">
        <v>1130</v>
      </c>
      <c r="C541" s="11">
        <v>45474</v>
      </c>
      <c r="D541" s="10" t="s">
        <v>1131</v>
      </c>
      <c r="E541" s="10" t="s">
        <v>28</v>
      </c>
      <c r="F541" s="10" t="s">
        <v>37</v>
      </c>
      <c r="G541" s="10">
        <v>51</v>
      </c>
      <c r="H541" s="10" t="s">
        <v>56</v>
      </c>
      <c r="I541" s="10" t="s">
        <v>21</v>
      </c>
      <c r="J541" s="10" t="s">
        <v>50</v>
      </c>
      <c r="K541" s="10" t="s">
        <v>40</v>
      </c>
      <c r="L541" s="10" t="s">
        <v>80</v>
      </c>
      <c r="M541" s="10" t="s">
        <v>33</v>
      </c>
      <c r="N541" s="10">
        <v>5</v>
      </c>
      <c r="O541" s="10">
        <v>44094</v>
      </c>
      <c r="P541" s="10">
        <v>209446.5</v>
      </c>
      <c r="Q541" s="12">
        <v>63363.35</v>
      </c>
      <c r="R541" s="17">
        <f t="shared" si="8"/>
        <v>0.30252761445046827</v>
      </c>
    </row>
    <row r="542" spans="2:18" x14ac:dyDescent="0.3">
      <c r="B542" s="20" t="s">
        <v>1132</v>
      </c>
      <c r="C542" s="8">
        <v>45364</v>
      </c>
      <c r="D542" s="7" t="s">
        <v>1133</v>
      </c>
      <c r="E542" s="7" t="s">
        <v>93</v>
      </c>
      <c r="F542" s="7" t="s">
        <v>19</v>
      </c>
      <c r="G542" s="7">
        <v>49</v>
      </c>
      <c r="H542" s="7" t="s">
        <v>56</v>
      </c>
      <c r="I542" s="7" t="s">
        <v>21</v>
      </c>
      <c r="J542" s="7" t="s">
        <v>50</v>
      </c>
      <c r="K542" s="7" t="s">
        <v>40</v>
      </c>
      <c r="L542" s="7" t="s">
        <v>32</v>
      </c>
      <c r="M542" s="7" t="s">
        <v>52</v>
      </c>
      <c r="N542" s="7">
        <v>2</v>
      </c>
      <c r="O542" s="7">
        <v>2175</v>
      </c>
      <c r="P542" s="7">
        <v>4132.5</v>
      </c>
      <c r="Q542" s="9">
        <v>1505.72</v>
      </c>
      <c r="R542" s="17">
        <f t="shared" si="8"/>
        <v>0.36436055656382338</v>
      </c>
    </row>
    <row r="543" spans="2:18" x14ac:dyDescent="0.3">
      <c r="B543" s="21" t="s">
        <v>1134</v>
      </c>
      <c r="C543" s="11">
        <v>45499</v>
      </c>
      <c r="D543" s="10" t="s">
        <v>1135</v>
      </c>
      <c r="E543" s="10" t="s">
        <v>18</v>
      </c>
      <c r="F543" s="10" t="s">
        <v>37</v>
      </c>
      <c r="G543" s="10">
        <v>44</v>
      </c>
      <c r="H543" s="10" t="s">
        <v>66</v>
      </c>
      <c r="I543" s="10" t="s">
        <v>39</v>
      </c>
      <c r="J543" s="10" t="s">
        <v>30</v>
      </c>
      <c r="K543" s="10" t="s">
        <v>23</v>
      </c>
      <c r="L543" s="10" t="s">
        <v>47</v>
      </c>
      <c r="M543" s="10" t="s">
        <v>52</v>
      </c>
      <c r="N543" s="10">
        <v>2</v>
      </c>
      <c r="O543" s="10">
        <v>27488</v>
      </c>
      <c r="P543" s="10">
        <v>49478.400000000001</v>
      </c>
      <c r="Q543" s="12">
        <v>12951.41</v>
      </c>
      <c r="R543" s="17">
        <f t="shared" si="8"/>
        <v>0.26175886851636271</v>
      </c>
    </row>
    <row r="544" spans="2:18" x14ac:dyDescent="0.3">
      <c r="B544" s="20" t="s">
        <v>1136</v>
      </c>
      <c r="C544" s="8">
        <v>45645</v>
      </c>
      <c r="D544" s="7" t="s">
        <v>1137</v>
      </c>
      <c r="E544" s="7" t="s">
        <v>36</v>
      </c>
      <c r="F544" s="7" t="s">
        <v>37</v>
      </c>
      <c r="G544" s="7">
        <v>56</v>
      </c>
      <c r="H544" s="7" t="s">
        <v>29</v>
      </c>
      <c r="I544" s="7" t="s">
        <v>21</v>
      </c>
      <c r="J544" s="7" t="s">
        <v>50</v>
      </c>
      <c r="K544" s="7" t="s">
        <v>31</v>
      </c>
      <c r="L544" s="7" t="s">
        <v>24</v>
      </c>
      <c r="M544" s="7" t="s">
        <v>25</v>
      </c>
      <c r="N544" s="7">
        <v>4</v>
      </c>
      <c r="O544" s="7">
        <v>2166</v>
      </c>
      <c r="P544" s="7">
        <v>8664</v>
      </c>
      <c r="Q544" s="9">
        <v>3406.79</v>
      </c>
      <c r="R544" s="17">
        <f t="shared" si="8"/>
        <v>0.39321214219759926</v>
      </c>
    </row>
    <row r="545" spans="2:18" x14ac:dyDescent="0.3">
      <c r="B545" s="21" t="s">
        <v>1138</v>
      </c>
      <c r="C545" s="11">
        <v>45439</v>
      </c>
      <c r="D545" s="10" t="s">
        <v>1139</v>
      </c>
      <c r="E545" s="10" t="s">
        <v>18</v>
      </c>
      <c r="F545" s="10" t="s">
        <v>19</v>
      </c>
      <c r="G545" s="10">
        <v>26</v>
      </c>
      <c r="H545" s="10" t="s">
        <v>66</v>
      </c>
      <c r="I545" s="10" t="s">
        <v>39</v>
      </c>
      <c r="J545" s="10" t="s">
        <v>50</v>
      </c>
      <c r="K545" s="10" t="s">
        <v>69</v>
      </c>
      <c r="L545" s="10" t="s">
        <v>32</v>
      </c>
      <c r="M545" s="10" t="s">
        <v>41</v>
      </c>
      <c r="N545" s="10">
        <v>2</v>
      </c>
      <c r="O545" s="10">
        <v>14421</v>
      </c>
      <c r="P545" s="10">
        <v>24515.7</v>
      </c>
      <c r="Q545" s="12">
        <v>4801.68</v>
      </c>
      <c r="R545" s="17">
        <f t="shared" si="8"/>
        <v>0.19586142757498257</v>
      </c>
    </row>
    <row r="546" spans="2:18" x14ac:dyDescent="0.3">
      <c r="B546" s="20" t="s">
        <v>1140</v>
      </c>
      <c r="C546" s="8">
        <v>45518</v>
      </c>
      <c r="D546" s="7" t="s">
        <v>1141</v>
      </c>
      <c r="E546" s="7" t="s">
        <v>79</v>
      </c>
      <c r="F546" s="7" t="s">
        <v>19</v>
      </c>
      <c r="G546" s="7">
        <v>57</v>
      </c>
      <c r="H546" s="7" t="s">
        <v>56</v>
      </c>
      <c r="I546" s="7" t="s">
        <v>46</v>
      </c>
      <c r="J546" s="7" t="s">
        <v>22</v>
      </c>
      <c r="K546" s="7" t="s">
        <v>40</v>
      </c>
      <c r="L546" s="7" t="s">
        <v>80</v>
      </c>
      <c r="M546" s="7" t="s">
        <v>52</v>
      </c>
      <c r="N546" s="7">
        <v>4</v>
      </c>
      <c r="O546" s="7">
        <v>1139</v>
      </c>
      <c r="P546" s="7">
        <v>3872.6</v>
      </c>
      <c r="Q546" s="9">
        <v>610.67999999999995</v>
      </c>
      <c r="R546" s="17">
        <f t="shared" si="8"/>
        <v>0.15769250632649898</v>
      </c>
    </row>
    <row r="547" spans="2:18" x14ac:dyDescent="0.3">
      <c r="B547" s="21" t="s">
        <v>1142</v>
      </c>
      <c r="C547" s="11">
        <v>45478</v>
      </c>
      <c r="D547" s="10" t="s">
        <v>1143</v>
      </c>
      <c r="E547" s="10" t="s">
        <v>59</v>
      </c>
      <c r="F547" s="10" t="s">
        <v>37</v>
      </c>
      <c r="G547" s="10">
        <v>43</v>
      </c>
      <c r="H547" s="10" t="s">
        <v>56</v>
      </c>
      <c r="I547" s="10" t="s">
        <v>46</v>
      </c>
      <c r="J547" s="10" t="s">
        <v>30</v>
      </c>
      <c r="K547" s="10" t="s">
        <v>69</v>
      </c>
      <c r="L547" s="10" t="s">
        <v>24</v>
      </c>
      <c r="M547" s="10" t="s">
        <v>52</v>
      </c>
      <c r="N547" s="10">
        <v>5</v>
      </c>
      <c r="O547" s="10">
        <v>15659</v>
      </c>
      <c r="P547" s="10">
        <v>78295</v>
      </c>
      <c r="Q547" s="12">
        <v>24749.08</v>
      </c>
      <c r="R547" s="17">
        <f t="shared" si="8"/>
        <v>0.31610038955233416</v>
      </c>
    </row>
    <row r="548" spans="2:18" x14ac:dyDescent="0.3">
      <c r="B548" s="20" t="s">
        <v>1144</v>
      </c>
      <c r="C548" s="8">
        <v>45550</v>
      </c>
      <c r="D548" s="7" t="s">
        <v>1145</v>
      </c>
      <c r="E548" s="7" t="s">
        <v>93</v>
      </c>
      <c r="F548" s="7" t="s">
        <v>37</v>
      </c>
      <c r="G548" s="7">
        <v>35</v>
      </c>
      <c r="H548" s="7" t="s">
        <v>66</v>
      </c>
      <c r="I548" s="7" t="s">
        <v>21</v>
      </c>
      <c r="J548" s="7" t="s">
        <v>22</v>
      </c>
      <c r="K548" s="7" t="s">
        <v>69</v>
      </c>
      <c r="L548" s="7" t="s">
        <v>60</v>
      </c>
      <c r="M548" s="7" t="s">
        <v>52</v>
      </c>
      <c r="N548" s="7">
        <v>3</v>
      </c>
      <c r="O548" s="7">
        <v>6891</v>
      </c>
      <c r="P548" s="7">
        <v>16538.400000000001</v>
      </c>
      <c r="Q548" s="9">
        <v>6144</v>
      </c>
      <c r="R548" s="17">
        <f t="shared" si="8"/>
        <v>0.37149905674067624</v>
      </c>
    </row>
    <row r="549" spans="2:18" x14ac:dyDescent="0.3">
      <c r="B549" s="21" t="s">
        <v>1146</v>
      </c>
      <c r="C549" s="11">
        <v>45522</v>
      </c>
      <c r="D549" s="10" t="s">
        <v>1147</v>
      </c>
      <c r="E549" s="10" t="s">
        <v>79</v>
      </c>
      <c r="F549" s="10" t="s">
        <v>19</v>
      </c>
      <c r="G549" s="10">
        <v>37</v>
      </c>
      <c r="H549" s="10" t="s">
        <v>29</v>
      </c>
      <c r="I549" s="10" t="s">
        <v>21</v>
      </c>
      <c r="J549" s="10" t="s">
        <v>30</v>
      </c>
      <c r="K549" s="10" t="s">
        <v>51</v>
      </c>
      <c r="L549" s="10" t="s">
        <v>60</v>
      </c>
      <c r="M549" s="10" t="s">
        <v>52</v>
      </c>
      <c r="N549" s="10">
        <v>5</v>
      </c>
      <c r="O549" s="10">
        <v>29544</v>
      </c>
      <c r="P549" s="10">
        <v>125562</v>
      </c>
      <c r="Q549" s="12">
        <v>34530.42</v>
      </c>
      <c r="R549" s="17">
        <f t="shared" si="8"/>
        <v>0.27500692884789985</v>
      </c>
    </row>
    <row r="550" spans="2:18" x14ac:dyDescent="0.3">
      <c r="B550" s="20" t="s">
        <v>1148</v>
      </c>
      <c r="C550" s="8">
        <v>45380</v>
      </c>
      <c r="D550" s="7" t="s">
        <v>1149</v>
      </c>
      <c r="E550" s="7" t="s">
        <v>36</v>
      </c>
      <c r="F550" s="7" t="s">
        <v>37</v>
      </c>
      <c r="G550" s="7">
        <v>41</v>
      </c>
      <c r="H550" s="7" t="s">
        <v>66</v>
      </c>
      <c r="I550" s="7" t="s">
        <v>21</v>
      </c>
      <c r="J550" s="7" t="s">
        <v>22</v>
      </c>
      <c r="K550" s="7" t="s">
        <v>51</v>
      </c>
      <c r="L550" s="7" t="s">
        <v>32</v>
      </c>
      <c r="M550" s="7" t="s">
        <v>33</v>
      </c>
      <c r="N550" s="7">
        <v>3</v>
      </c>
      <c r="O550" s="7">
        <v>46762</v>
      </c>
      <c r="P550" s="7">
        <v>126257.4</v>
      </c>
      <c r="Q550" s="9">
        <v>25155.61</v>
      </c>
      <c r="R550" s="17">
        <f t="shared" si="8"/>
        <v>0.19924067817015084</v>
      </c>
    </row>
    <row r="551" spans="2:18" x14ac:dyDescent="0.3">
      <c r="B551" s="21" t="s">
        <v>1150</v>
      </c>
      <c r="C551" s="11">
        <v>45412</v>
      </c>
      <c r="D551" s="10" t="s">
        <v>1151</v>
      </c>
      <c r="E551" s="10" t="s">
        <v>76</v>
      </c>
      <c r="F551" s="10" t="s">
        <v>19</v>
      </c>
      <c r="G551" s="10">
        <v>50</v>
      </c>
      <c r="H551" s="10" t="s">
        <v>56</v>
      </c>
      <c r="I551" s="10" t="s">
        <v>39</v>
      </c>
      <c r="J551" s="10" t="s">
        <v>22</v>
      </c>
      <c r="K551" s="10" t="s">
        <v>31</v>
      </c>
      <c r="L551" s="10" t="s">
        <v>24</v>
      </c>
      <c r="M551" s="10" t="s">
        <v>33</v>
      </c>
      <c r="N551" s="10">
        <v>3</v>
      </c>
      <c r="O551" s="10">
        <v>22166</v>
      </c>
      <c r="P551" s="10">
        <v>66498</v>
      </c>
      <c r="Q551" s="12">
        <v>15233.71</v>
      </c>
      <c r="R551" s="17">
        <f t="shared" si="8"/>
        <v>0.22908523564618483</v>
      </c>
    </row>
    <row r="552" spans="2:18" x14ac:dyDescent="0.3">
      <c r="B552" s="20" t="s">
        <v>1152</v>
      </c>
      <c r="C552" s="8">
        <v>45312</v>
      </c>
      <c r="D552" s="7" t="s">
        <v>1153</v>
      </c>
      <c r="E552" s="7" t="s">
        <v>55</v>
      </c>
      <c r="F552" s="7" t="s">
        <v>19</v>
      </c>
      <c r="G552" s="7">
        <v>34</v>
      </c>
      <c r="H552" s="7" t="s">
        <v>56</v>
      </c>
      <c r="I552" s="7" t="s">
        <v>39</v>
      </c>
      <c r="J552" s="7" t="s">
        <v>50</v>
      </c>
      <c r="K552" s="7" t="s">
        <v>23</v>
      </c>
      <c r="L552" s="7" t="s">
        <v>24</v>
      </c>
      <c r="M552" s="7" t="s">
        <v>52</v>
      </c>
      <c r="N552" s="7">
        <v>1</v>
      </c>
      <c r="O552" s="7">
        <v>26525</v>
      </c>
      <c r="P552" s="7">
        <v>21220</v>
      </c>
      <c r="Q552" s="9">
        <v>3369.61</v>
      </c>
      <c r="R552" s="17">
        <f t="shared" si="8"/>
        <v>0.15879406220546655</v>
      </c>
    </row>
    <row r="553" spans="2:18" x14ac:dyDescent="0.3">
      <c r="B553" s="21" t="s">
        <v>1154</v>
      </c>
      <c r="C553" s="11">
        <v>45644</v>
      </c>
      <c r="D553" s="10" t="s">
        <v>1155</v>
      </c>
      <c r="E553" s="10" t="s">
        <v>65</v>
      </c>
      <c r="F553" s="10" t="s">
        <v>37</v>
      </c>
      <c r="G553" s="10">
        <v>34</v>
      </c>
      <c r="H553" s="10" t="s">
        <v>29</v>
      </c>
      <c r="I553" s="10" t="s">
        <v>21</v>
      </c>
      <c r="J553" s="10" t="s">
        <v>22</v>
      </c>
      <c r="K553" s="10" t="s">
        <v>40</v>
      </c>
      <c r="L553" s="10" t="s">
        <v>80</v>
      </c>
      <c r="M553" s="10" t="s">
        <v>33</v>
      </c>
      <c r="N553" s="10">
        <v>5</v>
      </c>
      <c r="O553" s="10">
        <v>39160</v>
      </c>
      <c r="P553" s="10">
        <v>186010</v>
      </c>
      <c r="Q553" s="12">
        <v>31193.27</v>
      </c>
      <c r="R553" s="17">
        <f t="shared" si="8"/>
        <v>0.16769673673458416</v>
      </c>
    </row>
    <row r="554" spans="2:18" x14ac:dyDescent="0.3">
      <c r="B554" s="20" t="s">
        <v>1156</v>
      </c>
      <c r="C554" s="8">
        <v>45566</v>
      </c>
      <c r="D554" s="7" t="s">
        <v>1157</v>
      </c>
      <c r="E554" s="7" t="s">
        <v>79</v>
      </c>
      <c r="F554" s="7" t="s">
        <v>37</v>
      </c>
      <c r="G554" s="7">
        <v>32</v>
      </c>
      <c r="H554" s="7" t="s">
        <v>56</v>
      </c>
      <c r="I554" s="7" t="s">
        <v>46</v>
      </c>
      <c r="J554" s="7" t="s">
        <v>22</v>
      </c>
      <c r="K554" s="7" t="s">
        <v>31</v>
      </c>
      <c r="L554" s="7" t="s">
        <v>60</v>
      </c>
      <c r="M554" s="7" t="s">
        <v>41</v>
      </c>
      <c r="N554" s="7">
        <v>1</v>
      </c>
      <c r="O554" s="7">
        <v>22375</v>
      </c>
      <c r="P554" s="7">
        <v>19018.75</v>
      </c>
      <c r="Q554" s="9">
        <v>7353.44</v>
      </c>
      <c r="R554" s="17">
        <f t="shared" si="8"/>
        <v>0.38664160368057837</v>
      </c>
    </row>
    <row r="555" spans="2:18" x14ac:dyDescent="0.3">
      <c r="B555" s="21" t="s">
        <v>1158</v>
      </c>
      <c r="C555" s="11">
        <v>45537</v>
      </c>
      <c r="D555" s="10" t="s">
        <v>1159</v>
      </c>
      <c r="E555" s="10" t="s">
        <v>18</v>
      </c>
      <c r="F555" s="10" t="s">
        <v>19</v>
      </c>
      <c r="G555" s="10">
        <v>52</v>
      </c>
      <c r="H555" s="10" t="s">
        <v>56</v>
      </c>
      <c r="I555" s="10" t="s">
        <v>21</v>
      </c>
      <c r="J555" s="10" t="s">
        <v>50</v>
      </c>
      <c r="K555" s="10" t="s">
        <v>51</v>
      </c>
      <c r="L555" s="10" t="s">
        <v>80</v>
      </c>
      <c r="M555" s="10" t="s">
        <v>33</v>
      </c>
      <c r="N555" s="10">
        <v>4</v>
      </c>
      <c r="O555" s="10">
        <v>24696</v>
      </c>
      <c r="P555" s="10">
        <v>79027.199999999997</v>
      </c>
      <c r="Q555" s="12">
        <v>24144.5</v>
      </c>
      <c r="R555" s="17">
        <f t="shared" si="8"/>
        <v>0.30552139010366053</v>
      </c>
    </row>
    <row r="556" spans="2:18" x14ac:dyDescent="0.3">
      <c r="B556" s="20" t="s">
        <v>1160</v>
      </c>
      <c r="C556" s="8">
        <v>45394</v>
      </c>
      <c r="D556" s="7" t="s">
        <v>1161</v>
      </c>
      <c r="E556" s="7" t="s">
        <v>76</v>
      </c>
      <c r="F556" s="7" t="s">
        <v>37</v>
      </c>
      <c r="G556" s="7">
        <v>53</v>
      </c>
      <c r="H556" s="7" t="s">
        <v>66</v>
      </c>
      <c r="I556" s="7" t="s">
        <v>21</v>
      </c>
      <c r="J556" s="7" t="s">
        <v>22</v>
      </c>
      <c r="K556" s="7" t="s">
        <v>69</v>
      </c>
      <c r="L556" s="7" t="s">
        <v>47</v>
      </c>
      <c r="M556" s="7" t="s">
        <v>33</v>
      </c>
      <c r="N556" s="7">
        <v>1</v>
      </c>
      <c r="O556" s="7">
        <v>18108</v>
      </c>
      <c r="P556" s="7">
        <v>16297.2</v>
      </c>
      <c r="Q556" s="9">
        <v>6030.1</v>
      </c>
      <c r="R556" s="17">
        <f t="shared" si="8"/>
        <v>0.37000834499177776</v>
      </c>
    </row>
    <row r="557" spans="2:18" x14ac:dyDescent="0.3">
      <c r="B557" s="21" t="s">
        <v>1162</v>
      </c>
      <c r="C557" s="11">
        <v>45374</v>
      </c>
      <c r="D557" s="10" t="s">
        <v>1163</v>
      </c>
      <c r="E557" s="10" t="s">
        <v>76</v>
      </c>
      <c r="F557" s="10" t="s">
        <v>37</v>
      </c>
      <c r="G557" s="10">
        <v>24</v>
      </c>
      <c r="H557" s="10" t="s">
        <v>66</v>
      </c>
      <c r="I557" s="10" t="s">
        <v>39</v>
      </c>
      <c r="J557" s="10" t="s">
        <v>30</v>
      </c>
      <c r="K557" s="10" t="s">
        <v>31</v>
      </c>
      <c r="L557" s="10" t="s">
        <v>32</v>
      </c>
      <c r="M557" s="10" t="s">
        <v>33</v>
      </c>
      <c r="N557" s="10">
        <v>1</v>
      </c>
      <c r="O557" s="10">
        <v>25374</v>
      </c>
      <c r="P557" s="10">
        <v>25374</v>
      </c>
      <c r="Q557" s="12">
        <v>7403.06</v>
      </c>
      <c r="R557" s="17">
        <f t="shared" si="8"/>
        <v>0.29175770473713253</v>
      </c>
    </row>
    <row r="558" spans="2:18" x14ac:dyDescent="0.3">
      <c r="B558" s="20" t="s">
        <v>1164</v>
      </c>
      <c r="C558" s="8">
        <v>45453</v>
      </c>
      <c r="D558" s="7" t="s">
        <v>1165</v>
      </c>
      <c r="E558" s="7" t="s">
        <v>65</v>
      </c>
      <c r="F558" s="7" t="s">
        <v>37</v>
      </c>
      <c r="G558" s="7">
        <v>49</v>
      </c>
      <c r="H558" s="7" t="s">
        <v>20</v>
      </c>
      <c r="I558" s="7" t="s">
        <v>39</v>
      </c>
      <c r="J558" s="7" t="s">
        <v>50</v>
      </c>
      <c r="K558" s="7" t="s">
        <v>23</v>
      </c>
      <c r="L558" s="7" t="s">
        <v>60</v>
      </c>
      <c r="M558" s="7" t="s">
        <v>25</v>
      </c>
      <c r="N558" s="7">
        <v>3</v>
      </c>
      <c r="O558" s="7">
        <v>11369</v>
      </c>
      <c r="P558" s="7">
        <v>27285.599999999999</v>
      </c>
      <c r="Q558" s="9">
        <v>5173.16</v>
      </c>
      <c r="R558" s="17">
        <f t="shared" si="8"/>
        <v>0.18959304541589703</v>
      </c>
    </row>
    <row r="559" spans="2:18" x14ac:dyDescent="0.3">
      <c r="B559" s="21" t="s">
        <v>1166</v>
      </c>
      <c r="C559" s="11">
        <v>45620</v>
      </c>
      <c r="D559" s="10" t="s">
        <v>1167</v>
      </c>
      <c r="E559" s="10" t="s">
        <v>76</v>
      </c>
      <c r="F559" s="10" t="s">
        <v>37</v>
      </c>
      <c r="G559" s="10">
        <v>41</v>
      </c>
      <c r="H559" s="10" t="s">
        <v>56</v>
      </c>
      <c r="I559" s="10" t="s">
        <v>46</v>
      </c>
      <c r="J559" s="10" t="s">
        <v>22</v>
      </c>
      <c r="K559" s="10" t="s">
        <v>23</v>
      </c>
      <c r="L559" s="10" t="s">
        <v>80</v>
      </c>
      <c r="M559" s="10" t="s">
        <v>52</v>
      </c>
      <c r="N559" s="10">
        <v>1</v>
      </c>
      <c r="O559" s="10">
        <v>27164</v>
      </c>
      <c r="P559" s="10">
        <v>23089.4</v>
      </c>
      <c r="Q559" s="12">
        <v>9158.81</v>
      </c>
      <c r="R559" s="17">
        <f t="shared" si="8"/>
        <v>0.39666730187878418</v>
      </c>
    </row>
    <row r="560" spans="2:18" x14ac:dyDescent="0.3">
      <c r="B560" s="20" t="s">
        <v>1168</v>
      </c>
      <c r="C560" s="8">
        <v>45539</v>
      </c>
      <c r="D560" s="7" t="s">
        <v>1169</v>
      </c>
      <c r="E560" s="7" t="s">
        <v>18</v>
      </c>
      <c r="F560" s="7" t="s">
        <v>37</v>
      </c>
      <c r="G560" s="7">
        <v>31</v>
      </c>
      <c r="H560" s="7" t="s">
        <v>66</v>
      </c>
      <c r="I560" s="7" t="s">
        <v>39</v>
      </c>
      <c r="J560" s="7" t="s">
        <v>50</v>
      </c>
      <c r="K560" s="7" t="s">
        <v>31</v>
      </c>
      <c r="L560" s="7" t="s">
        <v>24</v>
      </c>
      <c r="M560" s="7" t="s">
        <v>33</v>
      </c>
      <c r="N560" s="7">
        <v>2</v>
      </c>
      <c r="O560" s="7">
        <v>35733</v>
      </c>
      <c r="P560" s="7">
        <v>67892.7</v>
      </c>
      <c r="Q560" s="9">
        <v>19533.04</v>
      </c>
      <c r="R560" s="17">
        <f t="shared" si="8"/>
        <v>0.28770456912156978</v>
      </c>
    </row>
    <row r="561" spans="2:18" x14ac:dyDescent="0.3">
      <c r="B561" s="21" t="s">
        <v>1170</v>
      </c>
      <c r="C561" s="11">
        <v>45652</v>
      </c>
      <c r="D561" s="10" t="s">
        <v>1171</v>
      </c>
      <c r="E561" s="10" t="s">
        <v>79</v>
      </c>
      <c r="F561" s="10" t="s">
        <v>37</v>
      </c>
      <c r="G561" s="10">
        <v>38</v>
      </c>
      <c r="H561" s="10" t="s">
        <v>56</v>
      </c>
      <c r="I561" s="10" t="s">
        <v>21</v>
      </c>
      <c r="J561" s="10" t="s">
        <v>22</v>
      </c>
      <c r="K561" s="10" t="s">
        <v>69</v>
      </c>
      <c r="L561" s="10" t="s">
        <v>47</v>
      </c>
      <c r="M561" s="10" t="s">
        <v>33</v>
      </c>
      <c r="N561" s="10">
        <v>5</v>
      </c>
      <c r="O561" s="10">
        <v>27354</v>
      </c>
      <c r="P561" s="10">
        <v>116254.5</v>
      </c>
      <c r="Q561" s="12">
        <v>38291.980000000003</v>
      </c>
      <c r="R561" s="17">
        <f t="shared" si="8"/>
        <v>0.32938062612630054</v>
      </c>
    </row>
    <row r="562" spans="2:18" x14ac:dyDescent="0.3">
      <c r="B562" s="20" t="s">
        <v>1172</v>
      </c>
      <c r="C562" s="8">
        <v>45607</v>
      </c>
      <c r="D562" s="7" t="s">
        <v>1173</v>
      </c>
      <c r="E562" s="7" t="s">
        <v>28</v>
      </c>
      <c r="F562" s="7" t="s">
        <v>37</v>
      </c>
      <c r="G562" s="7">
        <v>40</v>
      </c>
      <c r="H562" s="7" t="s">
        <v>56</v>
      </c>
      <c r="I562" s="7" t="s">
        <v>21</v>
      </c>
      <c r="J562" s="7" t="s">
        <v>22</v>
      </c>
      <c r="K562" s="7" t="s">
        <v>31</v>
      </c>
      <c r="L562" s="7" t="s">
        <v>24</v>
      </c>
      <c r="M562" s="7" t="s">
        <v>33</v>
      </c>
      <c r="N562" s="7">
        <v>5</v>
      </c>
      <c r="O562" s="7">
        <v>36981</v>
      </c>
      <c r="P562" s="7">
        <v>175659.75</v>
      </c>
      <c r="Q562" s="9">
        <v>53618.94</v>
      </c>
      <c r="R562" s="17">
        <f t="shared" si="8"/>
        <v>0.30524317608330881</v>
      </c>
    </row>
    <row r="563" spans="2:18" x14ac:dyDescent="0.3">
      <c r="B563" s="21" t="s">
        <v>1174</v>
      </c>
      <c r="C563" s="11">
        <v>45378</v>
      </c>
      <c r="D563" s="10" t="s">
        <v>1175</v>
      </c>
      <c r="E563" s="10" t="s">
        <v>18</v>
      </c>
      <c r="F563" s="10" t="s">
        <v>37</v>
      </c>
      <c r="G563" s="10">
        <v>58</v>
      </c>
      <c r="H563" s="10" t="s">
        <v>29</v>
      </c>
      <c r="I563" s="10" t="s">
        <v>21</v>
      </c>
      <c r="J563" s="10" t="s">
        <v>50</v>
      </c>
      <c r="K563" s="10" t="s">
        <v>69</v>
      </c>
      <c r="L563" s="10" t="s">
        <v>24</v>
      </c>
      <c r="M563" s="10" t="s">
        <v>52</v>
      </c>
      <c r="N563" s="10">
        <v>2</v>
      </c>
      <c r="O563" s="10">
        <v>48946</v>
      </c>
      <c r="P563" s="10">
        <v>88102.8</v>
      </c>
      <c r="Q563" s="12">
        <v>23976.81</v>
      </c>
      <c r="R563" s="17">
        <f t="shared" si="8"/>
        <v>0.27214583418461163</v>
      </c>
    </row>
    <row r="564" spans="2:18" x14ac:dyDescent="0.3">
      <c r="B564" s="20" t="s">
        <v>1176</v>
      </c>
      <c r="C564" s="8">
        <v>45655</v>
      </c>
      <c r="D564" s="7" t="s">
        <v>1177</v>
      </c>
      <c r="E564" s="7" t="s">
        <v>59</v>
      </c>
      <c r="F564" s="7" t="s">
        <v>37</v>
      </c>
      <c r="G564" s="7">
        <v>31</v>
      </c>
      <c r="H564" s="7" t="s">
        <v>56</v>
      </c>
      <c r="I564" s="7" t="s">
        <v>21</v>
      </c>
      <c r="J564" s="7" t="s">
        <v>50</v>
      </c>
      <c r="K564" s="7" t="s">
        <v>69</v>
      </c>
      <c r="L564" s="7" t="s">
        <v>60</v>
      </c>
      <c r="M564" s="7" t="s">
        <v>33</v>
      </c>
      <c r="N564" s="7">
        <v>5</v>
      </c>
      <c r="O564" s="7">
        <v>26611</v>
      </c>
      <c r="P564" s="7">
        <v>113096.75</v>
      </c>
      <c r="Q564" s="9">
        <v>35734.44</v>
      </c>
      <c r="R564" s="17">
        <f t="shared" si="8"/>
        <v>0.31596345606748205</v>
      </c>
    </row>
    <row r="565" spans="2:18" x14ac:dyDescent="0.3">
      <c r="B565" s="21" t="s">
        <v>1178</v>
      </c>
      <c r="C565" s="11">
        <v>45572</v>
      </c>
      <c r="D565" s="10" t="s">
        <v>1179</v>
      </c>
      <c r="E565" s="10" t="s">
        <v>65</v>
      </c>
      <c r="F565" s="10" t="s">
        <v>19</v>
      </c>
      <c r="G565" s="10">
        <v>48</v>
      </c>
      <c r="H565" s="10" t="s">
        <v>29</v>
      </c>
      <c r="I565" s="10" t="s">
        <v>21</v>
      </c>
      <c r="J565" s="10" t="s">
        <v>22</v>
      </c>
      <c r="K565" s="10" t="s">
        <v>69</v>
      </c>
      <c r="L565" s="10" t="s">
        <v>24</v>
      </c>
      <c r="M565" s="10" t="s">
        <v>52</v>
      </c>
      <c r="N565" s="10">
        <v>3</v>
      </c>
      <c r="O565" s="10">
        <v>13079</v>
      </c>
      <c r="P565" s="10">
        <v>33351.449999999997</v>
      </c>
      <c r="Q565" s="12">
        <v>12388.19</v>
      </c>
      <c r="R565" s="17">
        <f t="shared" si="8"/>
        <v>0.3714438202836759</v>
      </c>
    </row>
    <row r="566" spans="2:18" x14ac:dyDescent="0.3">
      <c r="B566" s="20" t="s">
        <v>1180</v>
      </c>
      <c r="C566" s="8">
        <v>45401</v>
      </c>
      <c r="D566" s="7" t="s">
        <v>1181</v>
      </c>
      <c r="E566" s="7" t="s">
        <v>79</v>
      </c>
      <c r="F566" s="7" t="s">
        <v>19</v>
      </c>
      <c r="G566" s="7">
        <v>51</v>
      </c>
      <c r="H566" s="7" t="s">
        <v>38</v>
      </c>
      <c r="I566" s="7" t="s">
        <v>21</v>
      </c>
      <c r="J566" s="7" t="s">
        <v>50</v>
      </c>
      <c r="K566" s="7" t="s">
        <v>31</v>
      </c>
      <c r="L566" s="7" t="s">
        <v>32</v>
      </c>
      <c r="M566" s="7" t="s">
        <v>25</v>
      </c>
      <c r="N566" s="7">
        <v>4</v>
      </c>
      <c r="O566" s="7">
        <v>47882</v>
      </c>
      <c r="P566" s="7">
        <v>191528</v>
      </c>
      <c r="Q566" s="9">
        <v>47722.25</v>
      </c>
      <c r="R566" s="17">
        <f t="shared" si="8"/>
        <v>0.24916591829915208</v>
      </c>
    </row>
    <row r="567" spans="2:18" x14ac:dyDescent="0.3">
      <c r="B567" s="21" t="s">
        <v>1182</v>
      </c>
      <c r="C567" s="11">
        <v>45571</v>
      </c>
      <c r="D567" s="10" t="s">
        <v>1183</v>
      </c>
      <c r="E567" s="10" t="s">
        <v>55</v>
      </c>
      <c r="F567" s="10" t="s">
        <v>19</v>
      </c>
      <c r="G567" s="10">
        <v>22</v>
      </c>
      <c r="H567" s="10" t="s">
        <v>56</v>
      </c>
      <c r="I567" s="10" t="s">
        <v>21</v>
      </c>
      <c r="J567" s="10" t="s">
        <v>50</v>
      </c>
      <c r="K567" s="10" t="s">
        <v>23</v>
      </c>
      <c r="L567" s="10" t="s">
        <v>60</v>
      </c>
      <c r="M567" s="10" t="s">
        <v>33</v>
      </c>
      <c r="N567" s="10">
        <v>4</v>
      </c>
      <c r="O567" s="10">
        <v>28329</v>
      </c>
      <c r="P567" s="10">
        <v>101984.4</v>
      </c>
      <c r="Q567" s="12">
        <v>15750.5</v>
      </c>
      <c r="R567" s="17">
        <f t="shared" si="8"/>
        <v>0.15444028694584663</v>
      </c>
    </row>
    <row r="568" spans="2:18" x14ac:dyDescent="0.3">
      <c r="B568" s="20" t="s">
        <v>1184</v>
      </c>
      <c r="C568" s="8">
        <v>45354</v>
      </c>
      <c r="D568" s="7" t="s">
        <v>1185</v>
      </c>
      <c r="E568" s="7" t="s">
        <v>76</v>
      </c>
      <c r="F568" s="7" t="s">
        <v>19</v>
      </c>
      <c r="G568" s="7">
        <v>38</v>
      </c>
      <c r="H568" s="7" t="s">
        <v>38</v>
      </c>
      <c r="I568" s="7" t="s">
        <v>21</v>
      </c>
      <c r="J568" s="7" t="s">
        <v>30</v>
      </c>
      <c r="K568" s="7" t="s">
        <v>40</v>
      </c>
      <c r="L568" s="7" t="s">
        <v>80</v>
      </c>
      <c r="M568" s="7" t="s">
        <v>41</v>
      </c>
      <c r="N568" s="7">
        <v>3</v>
      </c>
      <c r="O568" s="7">
        <v>29911</v>
      </c>
      <c r="P568" s="7">
        <v>76273.05</v>
      </c>
      <c r="Q568" s="9">
        <v>16227.54</v>
      </c>
      <c r="R568" s="17">
        <f t="shared" si="8"/>
        <v>0.21275588166462467</v>
      </c>
    </row>
    <row r="569" spans="2:18" x14ac:dyDescent="0.3">
      <c r="B569" s="21" t="s">
        <v>1186</v>
      </c>
      <c r="C569" s="11">
        <v>45467</v>
      </c>
      <c r="D569" s="10" t="s">
        <v>1187</v>
      </c>
      <c r="E569" s="10" t="s">
        <v>76</v>
      </c>
      <c r="F569" s="10" t="s">
        <v>37</v>
      </c>
      <c r="G569" s="10">
        <v>18</v>
      </c>
      <c r="H569" s="10" t="s">
        <v>20</v>
      </c>
      <c r="I569" s="10" t="s">
        <v>39</v>
      </c>
      <c r="J569" s="10" t="s">
        <v>22</v>
      </c>
      <c r="K569" s="10" t="s">
        <v>40</v>
      </c>
      <c r="L569" s="10" t="s">
        <v>47</v>
      </c>
      <c r="M569" s="10" t="s">
        <v>25</v>
      </c>
      <c r="N569" s="10">
        <v>2</v>
      </c>
      <c r="O569" s="10">
        <v>29831</v>
      </c>
      <c r="P569" s="10">
        <v>53695.8</v>
      </c>
      <c r="Q569" s="12">
        <v>10977.44</v>
      </c>
      <c r="R569" s="17">
        <f t="shared" si="8"/>
        <v>0.20443759102201661</v>
      </c>
    </row>
    <row r="570" spans="2:18" x14ac:dyDescent="0.3">
      <c r="B570" s="20" t="s">
        <v>1188</v>
      </c>
      <c r="C570" s="8">
        <v>45307</v>
      </c>
      <c r="D570" s="7" t="s">
        <v>1189</v>
      </c>
      <c r="E570" s="7" t="s">
        <v>28</v>
      </c>
      <c r="F570" s="7" t="s">
        <v>19</v>
      </c>
      <c r="G570" s="7">
        <v>54</v>
      </c>
      <c r="H570" s="7" t="s">
        <v>66</v>
      </c>
      <c r="I570" s="7" t="s">
        <v>46</v>
      </c>
      <c r="J570" s="7" t="s">
        <v>22</v>
      </c>
      <c r="K570" s="7" t="s">
        <v>51</v>
      </c>
      <c r="L570" s="7" t="s">
        <v>32</v>
      </c>
      <c r="M570" s="7" t="s">
        <v>52</v>
      </c>
      <c r="N570" s="7">
        <v>1</v>
      </c>
      <c r="O570" s="7">
        <v>37724</v>
      </c>
      <c r="P570" s="7">
        <v>37724</v>
      </c>
      <c r="Q570" s="9">
        <v>9534.93</v>
      </c>
      <c r="R570" s="17">
        <f t="shared" si="8"/>
        <v>0.25275501007316298</v>
      </c>
    </row>
    <row r="571" spans="2:18" x14ac:dyDescent="0.3">
      <c r="B571" s="21" t="s">
        <v>1190</v>
      </c>
      <c r="C571" s="11">
        <v>45547</v>
      </c>
      <c r="D571" s="10" t="s">
        <v>1191</v>
      </c>
      <c r="E571" s="10" t="s">
        <v>79</v>
      </c>
      <c r="F571" s="10" t="s">
        <v>37</v>
      </c>
      <c r="G571" s="10">
        <v>22</v>
      </c>
      <c r="H571" s="10" t="s">
        <v>45</v>
      </c>
      <c r="I571" s="10" t="s">
        <v>39</v>
      </c>
      <c r="J571" s="10" t="s">
        <v>22</v>
      </c>
      <c r="K571" s="10" t="s">
        <v>40</v>
      </c>
      <c r="L571" s="10" t="s">
        <v>47</v>
      </c>
      <c r="M571" s="10" t="s">
        <v>33</v>
      </c>
      <c r="N571" s="10">
        <v>5</v>
      </c>
      <c r="O571" s="10">
        <v>28175</v>
      </c>
      <c r="P571" s="10">
        <v>112700</v>
      </c>
      <c r="Q571" s="12">
        <v>35024</v>
      </c>
      <c r="R571" s="17">
        <f t="shared" si="8"/>
        <v>0.31077196095829634</v>
      </c>
    </row>
    <row r="572" spans="2:18" x14ac:dyDescent="0.3">
      <c r="B572" s="20" t="s">
        <v>1192</v>
      </c>
      <c r="C572" s="8">
        <v>45323</v>
      </c>
      <c r="D572" s="7" t="s">
        <v>1193</v>
      </c>
      <c r="E572" s="7" t="s">
        <v>55</v>
      </c>
      <c r="F572" s="7" t="s">
        <v>19</v>
      </c>
      <c r="G572" s="7">
        <v>42</v>
      </c>
      <c r="H572" s="7" t="s">
        <v>38</v>
      </c>
      <c r="I572" s="7" t="s">
        <v>21</v>
      </c>
      <c r="J572" s="7" t="s">
        <v>22</v>
      </c>
      <c r="K572" s="7" t="s">
        <v>69</v>
      </c>
      <c r="L572" s="7" t="s">
        <v>80</v>
      </c>
      <c r="M572" s="7" t="s">
        <v>52</v>
      </c>
      <c r="N572" s="7">
        <v>1</v>
      </c>
      <c r="O572" s="7">
        <v>26834</v>
      </c>
      <c r="P572" s="7">
        <v>24150.6</v>
      </c>
      <c r="Q572" s="9">
        <v>8375.77</v>
      </c>
      <c r="R572" s="17">
        <f t="shared" si="8"/>
        <v>0.34681415782630665</v>
      </c>
    </row>
    <row r="573" spans="2:18" x14ac:dyDescent="0.3">
      <c r="B573" s="21" t="s">
        <v>1194</v>
      </c>
      <c r="C573" s="11">
        <v>45547</v>
      </c>
      <c r="D573" s="10" t="s">
        <v>1195</v>
      </c>
      <c r="E573" s="10" t="s">
        <v>55</v>
      </c>
      <c r="F573" s="10" t="s">
        <v>19</v>
      </c>
      <c r="G573" s="10">
        <v>19</v>
      </c>
      <c r="H573" s="10" t="s">
        <v>20</v>
      </c>
      <c r="I573" s="10" t="s">
        <v>46</v>
      </c>
      <c r="J573" s="10" t="s">
        <v>30</v>
      </c>
      <c r="K573" s="10" t="s">
        <v>40</v>
      </c>
      <c r="L573" s="10" t="s">
        <v>60</v>
      </c>
      <c r="M573" s="10" t="s">
        <v>52</v>
      </c>
      <c r="N573" s="10">
        <v>2</v>
      </c>
      <c r="O573" s="10">
        <v>23349</v>
      </c>
      <c r="P573" s="10">
        <v>39693.300000000003</v>
      </c>
      <c r="Q573" s="12">
        <v>8965.34</v>
      </c>
      <c r="R573" s="17">
        <f t="shared" si="8"/>
        <v>0.22586532235918907</v>
      </c>
    </row>
    <row r="574" spans="2:18" x14ac:dyDescent="0.3">
      <c r="B574" s="20" t="s">
        <v>1196</v>
      </c>
      <c r="C574" s="8">
        <v>45361</v>
      </c>
      <c r="D574" s="7" t="s">
        <v>1197</v>
      </c>
      <c r="E574" s="7" t="s">
        <v>76</v>
      </c>
      <c r="F574" s="7" t="s">
        <v>37</v>
      </c>
      <c r="G574" s="7">
        <v>55</v>
      </c>
      <c r="H574" s="7" t="s">
        <v>66</v>
      </c>
      <c r="I574" s="7" t="s">
        <v>21</v>
      </c>
      <c r="J574" s="7" t="s">
        <v>30</v>
      </c>
      <c r="K574" s="7" t="s">
        <v>40</v>
      </c>
      <c r="L574" s="7" t="s">
        <v>80</v>
      </c>
      <c r="M574" s="7" t="s">
        <v>52</v>
      </c>
      <c r="N574" s="7">
        <v>1</v>
      </c>
      <c r="O574" s="7">
        <v>27599</v>
      </c>
      <c r="P574" s="7">
        <v>23459.15</v>
      </c>
      <c r="Q574" s="9">
        <v>5919.38</v>
      </c>
      <c r="R574" s="17">
        <f t="shared" si="8"/>
        <v>0.25232713035212273</v>
      </c>
    </row>
    <row r="575" spans="2:18" x14ac:dyDescent="0.3">
      <c r="B575" s="21" t="s">
        <v>1198</v>
      </c>
      <c r="C575" s="11">
        <v>45384</v>
      </c>
      <c r="D575" s="10" t="s">
        <v>1199</v>
      </c>
      <c r="E575" s="10" t="s">
        <v>55</v>
      </c>
      <c r="F575" s="10" t="s">
        <v>37</v>
      </c>
      <c r="G575" s="10">
        <v>46</v>
      </c>
      <c r="H575" s="10" t="s">
        <v>29</v>
      </c>
      <c r="I575" s="10" t="s">
        <v>21</v>
      </c>
      <c r="J575" s="10" t="s">
        <v>22</v>
      </c>
      <c r="K575" s="10" t="s">
        <v>51</v>
      </c>
      <c r="L575" s="10" t="s">
        <v>32</v>
      </c>
      <c r="M575" s="10" t="s">
        <v>41</v>
      </c>
      <c r="N575" s="10">
        <v>1</v>
      </c>
      <c r="O575" s="10">
        <v>1386</v>
      </c>
      <c r="P575" s="10">
        <v>1178.0999999999999</v>
      </c>
      <c r="Q575" s="12">
        <v>374.81</v>
      </c>
      <c r="R575" s="17">
        <f t="shared" si="8"/>
        <v>0.31814786520668875</v>
      </c>
    </row>
    <row r="576" spans="2:18" x14ac:dyDescent="0.3">
      <c r="B576" s="20" t="s">
        <v>1200</v>
      </c>
      <c r="C576" s="8">
        <v>45653</v>
      </c>
      <c r="D576" s="7" t="s">
        <v>1201</v>
      </c>
      <c r="E576" s="7" t="s">
        <v>65</v>
      </c>
      <c r="F576" s="7" t="s">
        <v>37</v>
      </c>
      <c r="G576" s="7">
        <v>48</v>
      </c>
      <c r="H576" s="7" t="s">
        <v>66</v>
      </c>
      <c r="I576" s="7" t="s">
        <v>21</v>
      </c>
      <c r="J576" s="7" t="s">
        <v>50</v>
      </c>
      <c r="K576" s="7" t="s">
        <v>23</v>
      </c>
      <c r="L576" s="7" t="s">
        <v>47</v>
      </c>
      <c r="M576" s="7" t="s">
        <v>25</v>
      </c>
      <c r="N576" s="7">
        <v>3</v>
      </c>
      <c r="O576" s="7">
        <v>24522</v>
      </c>
      <c r="P576" s="7">
        <v>66209.399999999994</v>
      </c>
      <c r="Q576" s="9">
        <v>23446.49</v>
      </c>
      <c r="R576" s="17">
        <f t="shared" si="8"/>
        <v>0.3541263023075274</v>
      </c>
    </row>
    <row r="577" spans="2:18" x14ac:dyDescent="0.3">
      <c r="B577" s="21" t="s">
        <v>1202</v>
      </c>
      <c r="C577" s="11">
        <v>45483</v>
      </c>
      <c r="D577" s="10" t="s">
        <v>1203</v>
      </c>
      <c r="E577" s="10" t="s">
        <v>76</v>
      </c>
      <c r="F577" s="10" t="s">
        <v>19</v>
      </c>
      <c r="G577" s="10">
        <v>54</v>
      </c>
      <c r="H577" s="10" t="s">
        <v>45</v>
      </c>
      <c r="I577" s="10" t="s">
        <v>21</v>
      </c>
      <c r="J577" s="10" t="s">
        <v>50</v>
      </c>
      <c r="K577" s="10" t="s">
        <v>69</v>
      </c>
      <c r="L577" s="10" t="s">
        <v>80</v>
      </c>
      <c r="M577" s="10" t="s">
        <v>33</v>
      </c>
      <c r="N577" s="10">
        <v>3</v>
      </c>
      <c r="O577" s="10">
        <v>35901</v>
      </c>
      <c r="P577" s="10">
        <v>96932.7</v>
      </c>
      <c r="Q577" s="12">
        <v>22112.07</v>
      </c>
      <c r="R577" s="17">
        <f t="shared" si="8"/>
        <v>0.22811775592756625</v>
      </c>
    </row>
    <row r="578" spans="2:18" x14ac:dyDescent="0.3">
      <c r="B578" s="20" t="s">
        <v>1204</v>
      </c>
      <c r="C578" s="8">
        <v>45379</v>
      </c>
      <c r="D578" s="7" t="s">
        <v>1205</v>
      </c>
      <c r="E578" s="7" t="s">
        <v>28</v>
      </c>
      <c r="F578" s="7" t="s">
        <v>19</v>
      </c>
      <c r="G578" s="7">
        <v>58</v>
      </c>
      <c r="H578" s="7" t="s">
        <v>56</v>
      </c>
      <c r="I578" s="7" t="s">
        <v>46</v>
      </c>
      <c r="J578" s="7" t="s">
        <v>22</v>
      </c>
      <c r="K578" s="7" t="s">
        <v>69</v>
      </c>
      <c r="L578" s="7" t="s">
        <v>32</v>
      </c>
      <c r="M578" s="7" t="s">
        <v>52</v>
      </c>
      <c r="N578" s="7">
        <v>5</v>
      </c>
      <c r="O578" s="7">
        <v>36415</v>
      </c>
      <c r="P578" s="7">
        <v>172971.25</v>
      </c>
      <c r="Q578" s="9">
        <v>57070.02</v>
      </c>
      <c r="R578" s="17">
        <f t="shared" si="8"/>
        <v>0.32993933963014083</v>
      </c>
    </row>
    <row r="579" spans="2:18" x14ac:dyDescent="0.3">
      <c r="B579" s="21" t="s">
        <v>1206</v>
      </c>
      <c r="C579" s="11">
        <v>45351</v>
      </c>
      <c r="D579" s="10" t="s">
        <v>1207</v>
      </c>
      <c r="E579" s="10" t="s">
        <v>76</v>
      </c>
      <c r="F579" s="10" t="s">
        <v>37</v>
      </c>
      <c r="G579" s="10">
        <v>39</v>
      </c>
      <c r="H579" s="10" t="s">
        <v>45</v>
      </c>
      <c r="I579" s="10" t="s">
        <v>39</v>
      </c>
      <c r="J579" s="10" t="s">
        <v>30</v>
      </c>
      <c r="K579" s="10" t="s">
        <v>40</v>
      </c>
      <c r="L579" s="10" t="s">
        <v>24</v>
      </c>
      <c r="M579" s="10" t="s">
        <v>41</v>
      </c>
      <c r="N579" s="10">
        <v>4</v>
      </c>
      <c r="O579" s="10">
        <v>21838</v>
      </c>
      <c r="P579" s="10">
        <v>69881.600000000006</v>
      </c>
      <c r="Q579" s="12">
        <v>15109.23</v>
      </c>
      <c r="R579" s="17">
        <f t="shared" si="8"/>
        <v>0.21621184975730376</v>
      </c>
    </row>
    <row r="580" spans="2:18" x14ac:dyDescent="0.3">
      <c r="B580" s="20" t="s">
        <v>1208</v>
      </c>
      <c r="C580" s="8">
        <v>45488</v>
      </c>
      <c r="D580" s="7" t="s">
        <v>1209</v>
      </c>
      <c r="E580" s="7" t="s">
        <v>65</v>
      </c>
      <c r="F580" s="7" t="s">
        <v>19</v>
      </c>
      <c r="G580" s="7">
        <v>39</v>
      </c>
      <c r="H580" s="7" t="s">
        <v>29</v>
      </c>
      <c r="I580" s="7" t="s">
        <v>39</v>
      </c>
      <c r="J580" s="7" t="s">
        <v>50</v>
      </c>
      <c r="K580" s="7" t="s">
        <v>40</v>
      </c>
      <c r="L580" s="7" t="s">
        <v>60</v>
      </c>
      <c r="M580" s="7" t="s">
        <v>33</v>
      </c>
      <c r="N580" s="7">
        <v>4</v>
      </c>
      <c r="O580" s="7">
        <v>49004</v>
      </c>
      <c r="P580" s="7">
        <v>176414.4</v>
      </c>
      <c r="Q580" s="9">
        <v>36292.61</v>
      </c>
      <c r="R580" s="17">
        <f t="shared" ref="R580:R643" si="9">Q580/P580</f>
        <v>0.20572362573576761</v>
      </c>
    </row>
    <row r="581" spans="2:18" x14ac:dyDescent="0.3">
      <c r="B581" s="21" t="s">
        <v>1210</v>
      </c>
      <c r="C581" s="11">
        <v>45539</v>
      </c>
      <c r="D581" s="10" t="s">
        <v>1211</v>
      </c>
      <c r="E581" s="10" t="s">
        <v>44</v>
      </c>
      <c r="F581" s="10" t="s">
        <v>37</v>
      </c>
      <c r="G581" s="10">
        <v>37</v>
      </c>
      <c r="H581" s="10" t="s">
        <v>29</v>
      </c>
      <c r="I581" s="10" t="s">
        <v>46</v>
      </c>
      <c r="J581" s="10" t="s">
        <v>22</v>
      </c>
      <c r="K581" s="10" t="s">
        <v>51</v>
      </c>
      <c r="L581" s="10" t="s">
        <v>80</v>
      </c>
      <c r="M581" s="10" t="s">
        <v>33</v>
      </c>
      <c r="N581" s="10">
        <v>1</v>
      </c>
      <c r="O581" s="10">
        <v>48209</v>
      </c>
      <c r="P581" s="10">
        <v>45798.55</v>
      </c>
      <c r="Q581" s="12">
        <v>7467.11</v>
      </c>
      <c r="R581" s="17">
        <f t="shared" si="9"/>
        <v>0.16304249807035373</v>
      </c>
    </row>
    <row r="582" spans="2:18" x14ac:dyDescent="0.3">
      <c r="B582" s="20" t="s">
        <v>1212</v>
      </c>
      <c r="C582" s="8">
        <v>45372</v>
      </c>
      <c r="D582" s="7" t="s">
        <v>1213</v>
      </c>
      <c r="E582" s="7" t="s">
        <v>55</v>
      </c>
      <c r="F582" s="7" t="s">
        <v>19</v>
      </c>
      <c r="G582" s="7">
        <v>32</v>
      </c>
      <c r="H582" s="7" t="s">
        <v>56</v>
      </c>
      <c r="I582" s="7" t="s">
        <v>39</v>
      </c>
      <c r="J582" s="7" t="s">
        <v>30</v>
      </c>
      <c r="K582" s="7" t="s">
        <v>69</v>
      </c>
      <c r="L582" s="7" t="s">
        <v>47</v>
      </c>
      <c r="M582" s="7" t="s">
        <v>25</v>
      </c>
      <c r="N582" s="7">
        <v>3</v>
      </c>
      <c r="O582" s="7">
        <v>20655</v>
      </c>
      <c r="P582" s="7">
        <v>58866.75</v>
      </c>
      <c r="Q582" s="9">
        <v>14188.6</v>
      </c>
      <c r="R582" s="17">
        <f t="shared" si="9"/>
        <v>0.24102910386593451</v>
      </c>
    </row>
    <row r="583" spans="2:18" x14ac:dyDescent="0.3">
      <c r="B583" s="21" t="s">
        <v>1214</v>
      </c>
      <c r="C583" s="11">
        <v>45417</v>
      </c>
      <c r="D583" s="10" t="s">
        <v>1215</v>
      </c>
      <c r="E583" s="10" t="s">
        <v>18</v>
      </c>
      <c r="F583" s="10" t="s">
        <v>37</v>
      </c>
      <c r="G583" s="10">
        <v>34</v>
      </c>
      <c r="H583" s="10" t="s">
        <v>29</v>
      </c>
      <c r="I583" s="10" t="s">
        <v>21</v>
      </c>
      <c r="J583" s="10" t="s">
        <v>22</v>
      </c>
      <c r="K583" s="10" t="s">
        <v>40</v>
      </c>
      <c r="L583" s="10" t="s">
        <v>32</v>
      </c>
      <c r="M583" s="10" t="s">
        <v>25</v>
      </c>
      <c r="N583" s="10">
        <v>4</v>
      </c>
      <c r="O583" s="10">
        <v>14311</v>
      </c>
      <c r="P583" s="10">
        <v>51519.6</v>
      </c>
      <c r="Q583" s="12">
        <v>17884.84</v>
      </c>
      <c r="R583" s="17">
        <f t="shared" si="9"/>
        <v>0.34714632877584456</v>
      </c>
    </row>
    <row r="584" spans="2:18" x14ac:dyDescent="0.3">
      <c r="B584" s="20" t="s">
        <v>1216</v>
      </c>
      <c r="C584" s="8">
        <v>45463</v>
      </c>
      <c r="D584" s="7" t="s">
        <v>1217</v>
      </c>
      <c r="E584" s="7" t="s">
        <v>65</v>
      </c>
      <c r="F584" s="7" t="s">
        <v>37</v>
      </c>
      <c r="G584" s="7">
        <v>53</v>
      </c>
      <c r="H584" s="7" t="s">
        <v>56</v>
      </c>
      <c r="I584" s="7" t="s">
        <v>46</v>
      </c>
      <c r="J584" s="7" t="s">
        <v>50</v>
      </c>
      <c r="K584" s="7" t="s">
        <v>23</v>
      </c>
      <c r="L584" s="7" t="s">
        <v>60</v>
      </c>
      <c r="M584" s="7" t="s">
        <v>25</v>
      </c>
      <c r="N584" s="7">
        <v>4</v>
      </c>
      <c r="O584" s="7">
        <v>25151</v>
      </c>
      <c r="P584" s="7">
        <v>80483.199999999997</v>
      </c>
      <c r="Q584" s="9">
        <v>31944.41</v>
      </c>
      <c r="R584" s="17">
        <f t="shared" si="9"/>
        <v>0.39690780187666497</v>
      </c>
    </row>
    <row r="585" spans="2:18" x14ac:dyDescent="0.3">
      <c r="B585" s="21" t="s">
        <v>1218</v>
      </c>
      <c r="C585" s="11">
        <v>45430</v>
      </c>
      <c r="D585" s="10" t="s">
        <v>1219</v>
      </c>
      <c r="E585" s="10" t="s">
        <v>55</v>
      </c>
      <c r="F585" s="10" t="s">
        <v>37</v>
      </c>
      <c r="G585" s="10">
        <v>57</v>
      </c>
      <c r="H585" s="10" t="s">
        <v>38</v>
      </c>
      <c r="I585" s="10" t="s">
        <v>21</v>
      </c>
      <c r="J585" s="10" t="s">
        <v>30</v>
      </c>
      <c r="K585" s="10" t="s">
        <v>69</v>
      </c>
      <c r="L585" s="10" t="s">
        <v>47</v>
      </c>
      <c r="M585" s="10" t="s">
        <v>25</v>
      </c>
      <c r="N585" s="10">
        <v>3</v>
      </c>
      <c r="O585" s="10">
        <v>36107</v>
      </c>
      <c r="P585" s="10">
        <v>97488.9</v>
      </c>
      <c r="Q585" s="12">
        <v>22170.07</v>
      </c>
      <c r="R585" s="17">
        <f t="shared" si="9"/>
        <v>0.22741122322643911</v>
      </c>
    </row>
    <row r="586" spans="2:18" x14ac:dyDescent="0.3">
      <c r="B586" s="20" t="s">
        <v>1220</v>
      </c>
      <c r="C586" s="8">
        <v>45651</v>
      </c>
      <c r="D586" s="7" t="s">
        <v>1221</v>
      </c>
      <c r="E586" s="7" t="s">
        <v>76</v>
      </c>
      <c r="F586" s="7" t="s">
        <v>37</v>
      </c>
      <c r="G586" s="7">
        <v>58</v>
      </c>
      <c r="H586" s="7" t="s">
        <v>29</v>
      </c>
      <c r="I586" s="7" t="s">
        <v>39</v>
      </c>
      <c r="J586" s="7" t="s">
        <v>22</v>
      </c>
      <c r="K586" s="7" t="s">
        <v>40</v>
      </c>
      <c r="L586" s="7" t="s">
        <v>80</v>
      </c>
      <c r="M586" s="7" t="s">
        <v>25</v>
      </c>
      <c r="N586" s="7">
        <v>4</v>
      </c>
      <c r="O586" s="7">
        <v>42721</v>
      </c>
      <c r="P586" s="7">
        <v>162339.79999999999</v>
      </c>
      <c r="Q586" s="9">
        <v>28105.7</v>
      </c>
      <c r="R586" s="17">
        <f t="shared" si="9"/>
        <v>0.17312883223953709</v>
      </c>
    </row>
    <row r="587" spans="2:18" x14ac:dyDescent="0.3">
      <c r="B587" s="21" t="s">
        <v>1222</v>
      </c>
      <c r="C587" s="11">
        <v>45397</v>
      </c>
      <c r="D587" s="10" t="s">
        <v>1223</v>
      </c>
      <c r="E587" s="10" t="s">
        <v>79</v>
      </c>
      <c r="F587" s="10" t="s">
        <v>37</v>
      </c>
      <c r="G587" s="10">
        <v>60</v>
      </c>
      <c r="H587" s="10" t="s">
        <v>66</v>
      </c>
      <c r="I587" s="10" t="s">
        <v>21</v>
      </c>
      <c r="J587" s="10" t="s">
        <v>22</v>
      </c>
      <c r="K587" s="10" t="s">
        <v>69</v>
      </c>
      <c r="L587" s="10" t="s">
        <v>32</v>
      </c>
      <c r="M587" s="10" t="s">
        <v>41</v>
      </c>
      <c r="N587" s="10">
        <v>3</v>
      </c>
      <c r="O587" s="10">
        <v>1101</v>
      </c>
      <c r="P587" s="10">
        <v>2642.4</v>
      </c>
      <c r="Q587" s="12">
        <v>507.92</v>
      </c>
      <c r="R587" s="17">
        <f t="shared" si="9"/>
        <v>0.19221919467151075</v>
      </c>
    </row>
    <row r="588" spans="2:18" x14ac:dyDescent="0.3">
      <c r="B588" s="20" t="s">
        <v>1224</v>
      </c>
      <c r="C588" s="8">
        <v>45609</v>
      </c>
      <c r="D588" s="7" t="s">
        <v>1225</v>
      </c>
      <c r="E588" s="7" t="s">
        <v>93</v>
      </c>
      <c r="F588" s="7" t="s">
        <v>19</v>
      </c>
      <c r="G588" s="7">
        <v>59</v>
      </c>
      <c r="H588" s="7" t="s">
        <v>29</v>
      </c>
      <c r="I588" s="7" t="s">
        <v>39</v>
      </c>
      <c r="J588" s="7" t="s">
        <v>30</v>
      </c>
      <c r="K588" s="7" t="s">
        <v>69</v>
      </c>
      <c r="L588" s="7" t="s">
        <v>80</v>
      </c>
      <c r="M588" s="7" t="s">
        <v>33</v>
      </c>
      <c r="N588" s="7">
        <v>2</v>
      </c>
      <c r="O588" s="7">
        <v>22870</v>
      </c>
      <c r="P588" s="7">
        <v>45740</v>
      </c>
      <c r="Q588" s="9">
        <v>14134.06</v>
      </c>
      <c r="R588" s="17">
        <f t="shared" si="9"/>
        <v>0.30900874508089199</v>
      </c>
    </row>
    <row r="589" spans="2:18" x14ac:dyDescent="0.3">
      <c r="B589" s="21" t="s">
        <v>1226</v>
      </c>
      <c r="C589" s="11">
        <v>45398</v>
      </c>
      <c r="D589" s="10" t="s">
        <v>1227</v>
      </c>
      <c r="E589" s="10" t="s">
        <v>18</v>
      </c>
      <c r="F589" s="10" t="s">
        <v>19</v>
      </c>
      <c r="G589" s="10">
        <v>28</v>
      </c>
      <c r="H589" s="10" t="s">
        <v>56</v>
      </c>
      <c r="I589" s="10" t="s">
        <v>21</v>
      </c>
      <c r="J589" s="10" t="s">
        <v>30</v>
      </c>
      <c r="K589" s="10" t="s">
        <v>40</v>
      </c>
      <c r="L589" s="10" t="s">
        <v>24</v>
      </c>
      <c r="M589" s="10" t="s">
        <v>41</v>
      </c>
      <c r="N589" s="10">
        <v>3</v>
      </c>
      <c r="O589" s="10">
        <v>10139</v>
      </c>
      <c r="P589" s="10">
        <v>30417</v>
      </c>
      <c r="Q589" s="12">
        <v>11505.6</v>
      </c>
      <c r="R589" s="17">
        <f t="shared" si="9"/>
        <v>0.37826215603116681</v>
      </c>
    </row>
    <row r="590" spans="2:18" x14ac:dyDescent="0.3">
      <c r="B590" s="20" t="s">
        <v>1228</v>
      </c>
      <c r="C590" s="8">
        <v>45619</v>
      </c>
      <c r="D590" s="7" t="s">
        <v>1229</v>
      </c>
      <c r="E590" s="7" t="s">
        <v>93</v>
      </c>
      <c r="F590" s="7" t="s">
        <v>19</v>
      </c>
      <c r="G590" s="7">
        <v>51</v>
      </c>
      <c r="H590" s="7" t="s">
        <v>56</v>
      </c>
      <c r="I590" s="7" t="s">
        <v>21</v>
      </c>
      <c r="J590" s="7" t="s">
        <v>50</v>
      </c>
      <c r="K590" s="7" t="s">
        <v>51</v>
      </c>
      <c r="L590" s="7" t="s">
        <v>47</v>
      </c>
      <c r="M590" s="7" t="s">
        <v>25</v>
      </c>
      <c r="N590" s="7">
        <v>5</v>
      </c>
      <c r="O590" s="7">
        <v>16626</v>
      </c>
      <c r="P590" s="7">
        <v>66504</v>
      </c>
      <c r="Q590" s="9">
        <v>13341.34</v>
      </c>
      <c r="R590" s="17">
        <f t="shared" si="9"/>
        <v>0.2006095873932395</v>
      </c>
    </row>
    <row r="591" spans="2:18" x14ac:dyDescent="0.3">
      <c r="B591" s="21" t="s">
        <v>1230</v>
      </c>
      <c r="C591" s="11">
        <v>45338</v>
      </c>
      <c r="D591" s="10" t="s">
        <v>1231</v>
      </c>
      <c r="E591" s="10" t="s">
        <v>55</v>
      </c>
      <c r="F591" s="10" t="s">
        <v>37</v>
      </c>
      <c r="G591" s="10">
        <v>31</v>
      </c>
      <c r="H591" s="10" t="s">
        <v>56</v>
      </c>
      <c r="I591" s="10" t="s">
        <v>21</v>
      </c>
      <c r="J591" s="10" t="s">
        <v>50</v>
      </c>
      <c r="K591" s="10" t="s">
        <v>40</v>
      </c>
      <c r="L591" s="10" t="s">
        <v>47</v>
      </c>
      <c r="M591" s="10" t="s">
        <v>25</v>
      </c>
      <c r="N591" s="10">
        <v>1</v>
      </c>
      <c r="O591" s="10">
        <v>13465</v>
      </c>
      <c r="P591" s="10">
        <v>11445.25</v>
      </c>
      <c r="Q591" s="12">
        <v>3647.38</v>
      </c>
      <c r="R591" s="17">
        <f t="shared" si="9"/>
        <v>0.31868067538935368</v>
      </c>
    </row>
    <row r="592" spans="2:18" x14ac:dyDescent="0.3">
      <c r="B592" s="20" t="s">
        <v>1232</v>
      </c>
      <c r="C592" s="8">
        <v>45297</v>
      </c>
      <c r="D592" s="7" t="s">
        <v>1233</v>
      </c>
      <c r="E592" s="7" t="s">
        <v>59</v>
      </c>
      <c r="F592" s="7" t="s">
        <v>19</v>
      </c>
      <c r="G592" s="7">
        <v>33</v>
      </c>
      <c r="H592" s="7" t="s">
        <v>38</v>
      </c>
      <c r="I592" s="7" t="s">
        <v>39</v>
      </c>
      <c r="J592" s="7" t="s">
        <v>30</v>
      </c>
      <c r="K592" s="7" t="s">
        <v>23</v>
      </c>
      <c r="L592" s="7" t="s">
        <v>32</v>
      </c>
      <c r="M592" s="7" t="s">
        <v>52</v>
      </c>
      <c r="N592" s="7">
        <v>2</v>
      </c>
      <c r="O592" s="7">
        <v>4913</v>
      </c>
      <c r="P592" s="7">
        <v>8843.4</v>
      </c>
      <c r="Q592" s="9">
        <v>2210.5700000000002</v>
      </c>
      <c r="R592" s="17">
        <f t="shared" si="9"/>
        <v>0.24996833796955925</v>
      </c>
    </row>
    <row r="593" spans="2:18" x14ac:dyDescent="0.3">
      <c r="B593" s="21" t="s">
        <v>1234</v>
      </c>
      <c r="C593" s="11">
        <v>45348</v>
      </c>
      <c r="D593" s="10" t="s">
        <v>1235</v>
      </c>
      <c r="E593" s="10" t="s">
        <v>76</v>
      </c>
      <c r="F593" s="10" t="s">
        <v>37</v>
      </c>
      <c r="G593" s="10">
        <v>39</v>
      </c>
      <c r="H593" s="10" t="s">
        <v>38</v>
      </c>
      <c r="I593" s="10" t="s">
        <v>21</v>
      </c>
      <c r="J593" s="10" t="s">
        <v>50</v>
      </c>
      <c r="K593" s="10" t="s">
        <v>40</v>
      </c>
      <c r="L593" s="10" t="s">
        <v>24</v>
      </c>
      <c r="M593" s="10" t="s">
        <v>25</v>
      </c>
      <c r="N593" s="10">
        <v>1</v>
      </c>
      <c r="O593" s="10">
        <v>10372</v>
      </c>
      <c r="P593" s="10">
        <v>10372</v>
      </c>
      <c r="Q593" s="12">
        <v>4059.2</v>
      </c>
      <c r="R593" s="17">
        <f t="shared" si="9"/>
        <v>0.39136135750096412</v>
      </c>
    </row>
    <row r="594" spans="2:18" x14ac:dyDescent="0.3">
      <c r="B594" s="20" t="s">
        <v>1236</v>
      </c>
      <c r="C594" s="8">
        <v>45503</v>
      </c>
      <c r="D594" s="7" t="s">
        <v>1237</v>
      </c>
      <c r="E594" s="7" t="s">
        <v>79</v>
      </c>
      <c r="F594" s="7" t="s">
        <v>19</v>
      </c>
      <c r="G594" s="7">
        <v>37</v>
      </c>
      <c r="H594" s="7" t="s">
        <v>38</v>
      </c>
      <c r="I594" s="7" t="s">
        <v>21</v>
      </c>
      <c r="J594" s="7" t="s">
        <v>50</v>
      </c>
      <c r="K594" s="7" t="s">
        <v>51</v>
      </c>
      <c r="L594" s="7" t="s">
        <v>60</v>
      </c>
      <c r="M594" s="7" t="s">
        <v>25</v>
      </c>
      <c r="N594" s="7">
        <v>5</v>
      </c>
      <c r="O594" s="7">
        <v>24971</v>
      </c>
      <c r="P594" s="7">
        <v>124855</v>
      </c>
      <c r="Q594" s="9">
        <v>19579.580000000002</v>
      </c>
      <c r="R594" s="17">
        <f t="shared" si="9"/>
        <v>0.15681854951744023</v>
      </c>
    </row>
    <row r="595" spans="2:18" x14ac:dyDescent="0.3">
      <c r="B595" s="21" t="s">
        <v>1238</v>
      </c>
      <c r="C595" s="11">
        <v>45610</v>
      </c>
      <c r="D595" s="10" t="s">
        <v>1239</v>
      </c>
      <c r="E595" s="10" t="s">
        <v>44</v>
      </c>
      <c r="F595" s="10" t="s">
        <v>37</v>
      </c>
      <c r="G595" s="10">
        <v>38</v>
      </c>
      <c r="H595" s="10" t="s">
        <v>66</v>
      </c>
      <c r="I595" s="10" t="s">
        <v>21</v>
      </c>
      <c r="J595" s="10" t="s">
        <v>50</v>
      </c>
      <c r="K595" s="10" t="s">
        <v>51</v>
      </c>
      <c r="L595" s="10" t="s">
        <v>24</v>
      </c>
      <c r="M595" s="10" t="s">
        <v>52</v>
      </c>
      <c r="N595" s="10">
        <v>5</v>
      </c>
      <c r="O595" s="10">
        <v>29935</v>
      </c>
      <c r="P595" s="10">
        <v>142191.25</v>
      </c>
      <c r="Q595" s="12">
        <v>51527.7</v>
      </c>
      <c r="R595" s="17">
        <f t="shared" si="9"/>
        <v>0.36238305802923876</v>
      </c>
    </row>
    <row r="596" spans="2:18" x14ac:dyDescent="0.3">
      <c r="B596" s="20" t="s">
        <v>1240</v>
      </c>
      <c r="C596" s="8">
        <v>45571</v>
      </c>
      <c r="D596" s="7" t="s">
        <v>1241</v>
      </c>
      <c r="E596" s="7" t="s">
        <v>76</v>
      </c>
      <c r="F596" s="7" t="s">
        <v>37</v>
      </c>
      <c r="G596" s="7">
        <v>44</v>
      </c>
      <c r="H596" s="7" t="s">
        <v>56</v>
      </c>
      <c r="I596" s="7" t="s">
        <v>46</v>
      </c>
      <c r="J596" s="7" t="s">
        <v>22</v>
      </c>
      <c r="K596" s="7" t="s">
        <v>51</v>
      </c>
      <c r="L596" s="7" t="s">
        <v>80</v>
      </c>
      <c r="M596" s="7" t="s">
        <v>41</v>
      </c>
      <c r="N596" s="7">
        <v>5</v>
      </c>
      <c r="O596" s="7">
        <v>17206</v>
      </c>
      <c r="P596" s="7">
        <v>77427</v>
      </c>
      <c r="Q596" s="9">
        <v>17074.66</v>
      </c>
      <c r="R596" s="17">
        <f t="shared" si="9"/>
        <v>0.22052591473258681</v>
      </c>
    </row>
    <row r="597" spans="2:18" x14ac:dyDescent="0.3">
      <c r="B597" s="21" t="s">
        <v>1242</v>
      </c>
      <c r="C597" s="11">
        <v>45632</v>
      </c>
      <c r="D597" s="10" t="s">
        <v>1243</v>
      </c>
      <c r="E597" s="10" t="s">
        <v>44</v>
      </c>
      <c r="F597" s="10" t="s">
        <v>37</v>
      </c>
      <c r="G597" s="10">
        <v>58</v>
      </c>
      <c r="H597" s="10" t="s">
        <v>38</v>
      </c>
      <c r="I597" s="10" t="s">
        <v>21</v>
      </c>
      <c r="J597" s="10" t="s">
        <v>50</v>
      </c>
      <c r="K597" s="10" t="s">
        <v>40</v>
      </c>
      <c r="L597" s="10" t="s">
        <v>60</v>
      </c>
      <c r="M597" s="10" t="s">
        <v>25</v>
      </c>
      <c r="N597" s="10">
        <v>2</v>
      </c>
      <c r="O597" s="10">
        <v>17573</v>
      </c>
      <c r="P597" s="10">
        <v>35146</v>
      </c>
      <c r="Q597" s="12">
        <v>11099.13</v>
      </c>
      <c r="R597" s="17">
        <f t="shared" si="9"/>
        <v>0.31580066010356794</v>
      </c>
    </row>
    <row r="598" spans="2:18" x14ac:dyDescent="0.3">
      <c r="B598" s="20" t="s">
        <v>1244</v>
      </c>
      <c r="C598" s="8">
        <v>45297</v>
      </c>
      <c r="D598" s="7" t="s">
        <v>1245</v>
      </c>
      <c r="E598" s="7" t="s">
        <v>65</v>
      </c>
      <c r="F598" s="7" t="s">
        <v>37</v>
      </c>
      <c r="G598" s="7">
        <v>19</v>
      </c>
      <c r="H598" s="7" t="s">
        <v>38</v>
      </c>
      <c r="I598" s="7" t="s">
        <v>21</v>
      </c>
      <c r="J598" s="7" t="s">
        <v>22</v>
      </c>
      <c r="K598" s="7" t="s">
        <v>40</v>
      </c>
      <c r="L598" s="7" t="s">
        <v>60</v>
      </c>
      <c r="M598" s="7" t="s">
        <v>33</v>
      </c>
      <c r="N598" s="7">
        <v>3</v>
      </c>
      <c r="O598" s="7">
        <v>16434</v>
      </c>
      <c r="P598" s="7">
        <v>39441.599999999999</v>
      </c>
      <c r="Q598" s="9">
        <v>9899.1</v>
      </c>
      <c r="R598" s="17">
        <f t="shared" si="9"/>
        <v>0.2509811975173421</v>
      </c>
    </row>
    <row r="599" spans="2:18" x14ac:dyDescent="0.3">
      <c r="B599" s="21" t="s">
        <v>1246</v>
      </c>
      <c r="C599" s="11">
        <v>45359</v>
      </c>
      <c r="D599" s="10" t="s">
        <v>1247</v>
      </c>
      <c r="E599" s="10" t="s">
        <v>44</v>
      </c>
      <c r="F599" s="10" t="s">
        <v>19</v>
      </c>
      <c r="G599" s="10">
        <v>48</v>
      </c>
      <c r="H599" s="10" t="s">
        <v>20</v>
      </c>
      <c r="I599" s="10" t="s">
        <v>21</v>
      </c>
      <c r="J599" s="10" t="s">
        <v>50</v>
      </c>
      <c r="K599" s="10" t="s">
        <v>31</v>
      </c>
      <c r="L599" s="10" t="s">
        <v>60</v>
      </c>
      <c r="M599" s="10" t="s">
        <v>52</v>
      </c>
      <c r="N599" s="10">
        <v>4</v>
      </c>
      <c r="O599" s="10">
        <v>43564</v>
      </c>
      <c r="P599" s="10">
        <v>156830.39999999999</v>
      </c>
      <c r="Q599" s="12">
        <v>25080.45</v>
      </c>
      <c r="R599" s="17">
        <f t="shared" si="9"/>
        <v>0.1599208444281211</v>
      </c>
    </row>
    <row r="600" spans="2:18" x14ac:dyDescent="0.3">
      <c r="B600" s="20" t="s">
        <v>1248</v>
      </c>
      <c r="C600" s="8">
        <v>45387</v>
      </c>
      <c r="D600" s="7" t="s">
        <v>1249</v>
      </c>
      <c r="E600" s="7" t="s">
        <v>79</v>
      </c>
      <c r="F600" s="7" t="s">
        <v>19</v>
      </c>
      <c r="G600" s="7">
        <v>43</v>
      </c>
      <c r="H600" s="7" t="s">
        <v>20</v>
      </c>
      <c r="I600" s="7" t="s">
        <v>21</v>
      </c>
      <c r="J600" s="7" t="s">
        <v>50</v>
      </c>
      <c r="K600" s="7" t="s">
        <v>51</v>
      </c>
      <c r="L600" s="7" t="s">
        <v>47</v>
      </c>
      <c r="M600" s="7" t="s">
        <v>41</v>
      </c>
      <c r="N600" s="7">
        <v>3</v>
      </c>
      <c r="O600" s="7">
        <v>48587</v>
      </c>
      <c r="P600" s="7">
        <v>145761</v>
      </c>
      <c r="Q600" s="9">
        <v>44871.09</v>
      </c>
      <c r="R600" s="17">
        <f t="shared" si="9"/>
        <v>0.30784016300656553</v>
      </c>
    </row>
    <row r="601" spans="2:18" x14ac:dyDescent="0.3">
      <c r="B601" s="21" t="s">
        <v>1250</v>
      </c>
      <c r="C601" s="11">
        <v>45376</v>
      </c>
      <c r="D601" s="10" t="s">
        <v>1251</v>
      </c>
      <c r="E601" s="10" t="s">
        <v>79</v>
      </c>
      <c r="F601" s="10" t="s">
        <v>19</v>
      </c>
      <c r="G601" s="10">
        <v>49</v>
      </c>
      <c r="H601" s="10" t="s">
        <v>20</v>
      </c>
      <c r="I601" s="10" t="s">
        <v>21</v>
      </c>
      <c r="J601" s="10" t="s">
        <v>30</v>
      </c>
      <c r="K601" s="10" t="s">
        <v>69</v>
      </c>
      <c r="L601" s="10" t="s">
        <v>24</v>
      </c>
      <c r="M601" s="10" t="s">
        <v>52</v>
      </c>
      <c r="N601" s="10">
        <v>2</v>
      </c>
      <c r="O601" s="10">
        <v>7672</v>
      </c>
      <c r="P601" s="10">
        <v>13042.4</v>
      </c>
      <c r="Q601" s="12">
        <v>2282.15</v>
      </c>
      <c r="R601" s="17">
        <f t="shared" si="9"/>
        <v>0.17497929828865855</v>
      </c>
    </row>
    <row r="602" spans="2:18" x14ac:dyDescent="0.3">
      <c r="B602" s="20" t="s">
        <v>1252</v>
      </c>
      <c r="C602" s="8">
        <v>45319</v>
      </c>
      <c r="D602" s="7" t="s">
        <v>1253</v>
      </c>
      <c r="E602" s="7" t="s">
        <v>79</v>
      </c>
      <c r="F602" s="7" t="s">
        <v>37</v>
      </c>
      <c r="G602" s="7">
        <v>19</v>
      </c>
      <c r="H602" s="7" t="s">
        <v>56</v>
      </c>
      <c r="I602" s="7" t="s">
        <v>21</v>
      </c>
      <c r="J602" s="7" t="s">
        <v>22</v>
      </c>
      <c r="K602" s="7" t="s">
        <v>31</v>
      </c>
      <c r="L602" s="7" t="s">
        <v>60</v>
      </c>
      <c r="M602" s="7" t="s">
        <v>33</v>
      </c>
      <c r="N602" s="7">
        <v>5</v>
      </c>
      <c r="O602" s="7">
        <v>31804</v>
      </c>
      <c r="P602" s="7">
        <v>159020</v>
      </c>
      <c r="Q602" s="9">
        <v>43283.51</v>
      </c>
      <c r="R602" s="17">
        <f t="shared" si="9"/>
        <v>0.27218909571123129</v>
      </c>
    </row>
    <row r="603" spans="2:18" x14ac:dyDescent="0.3">
      <c r="B603" s="21" t="s">
        <v>1254</v>
      </c>
      <c r="C603" s="11">
        <v>45453</v>
      </c>
      <c r="D603" s="10" t="s">
        <v>1255</v>
      </c>
      <c r="E603" s="10" t="s">
        <v>76</v>
      </c>
      <c r="F603" s="10" t="s">
        <v>37</v>
      </c>
      <c r="G603" s="10">
        <v>22</v>
      </c>
      <c r="H603" s="10" t="s">
        <v>56</v>
      </c>
      <c r="I603" s="10" t="s">
        <v>21</v>
      </c>
      <c r="J603" s="10" t="s">
        <v>22</v>
      </c>
      <c r="K603" s="10" t="s">
        <v>51</v>
      </c>
      <c r="L603" s="10" t="s">
        <v>24</v>
      </c>
      <c r="M603" s="10" t="s">
        <v>25</v>
      </c>
      <c r="N603" s="10">
        <v>5</v>
      </c>
      <c r="O603" s="10">
        <v>8182</v>
      </c>
      <c r="P603" s="10">
        <v>36819</v>
      </c>
      <c r="Q603" s="12">
        <v>12939.88</v>
      </c>
      <c r="R603" s="17">
        <f t="shared" si="9"/>
        <v>0.35144572095928728</v>
      </c>
    </row>
    <row r="604" spans="2:18" x14ac:dyDescent="0.3">
      <c r="B604" s="20" t="s">
        <v>1256</v>
      </c>
      <c r="C604" s="8">
        <v>45620</v>
      </c>
      <c r="D604" s="7" t="s">
        <v>1257</v>
      </c>
      <c r="E604" s="7" t="s">
        <v>18</v>
      </c>
      <c r="F604" s="7" t="s">
        <v>37</v>
      </c>
      <c r="G604" s="7">
        <v>41</v>
      </c>
      <c r="H604" s="7" t="s">
        <v>29</v>
      </c>
      <c r="I604" s="7" t="s">
        <v>39</v>
      </c>
      <c r="J604" s="7" t="s">
        <v>30</v>
      </c>
      <c r="K604" s="7" t="s">
        <v>40</v>
      </c>
      <c r="L604" s="7" t="s">
        <v>32</v>
      </c>
      <c r="M604" s="7" t="s">
        <v>52</v>
      </c>
      <c r="N604" s="7">
        <v>2</v>
      </c>
      <c r="O604" s="7">
        <v>31837</v>
      </c>
      <c r="P604" s="7">
        <v>60490.3</v>
      </c>
      <c r="Q604" s="9">
        <v>19299.7</v>
      </c>
      <c r="R604" s="17">
        <f t="shared" si="9"/>
        <v>0.31905445997126813</v>
      </c>
    </row>
    <row r="605" spans="2:18" x14ac:dyDescent="0.3">
      <c r="B605" s="21" t="s">
        <v>1258</v>
      </c>
      <c r="C605" s="11">
        <v>45558</v>
      </c>
      <c r="D605" s="10" t="s">
        <v>1259</v>
      </c>
      <c r="E605" s="10" t="s">
        <v>79</v>
      </c>
      <c r="F605" s="10" t="s">
        <v>19</v>
      </c>
      <c r="G605" s="10">
        <v>20</v>
      </c>
      <c r="H605" s="10" t="s">
        <v>29</v>
      </c>
      <c r="I605" s="10" t="s">
        <v>21</v>
      </c>
      <c r="J605" s="10" t="s">
        <v>50</v>
      </c>
      <c r="K605" s="10" t="s">
        <v>23</v>
      </c>
      <c r="L605" s="10" t="s">
        <v>60</v>
      </c>
      <c r="M605" s="10" t="s">
        <v>52</v>
      </c>
      <c r="N605" s="10">
        <v>4</v>
      </c>
      <c r="O605" s="10">
        <v>7817</v>
      </c>
      <c r="P605" s="10">
        <v>31268</v>
      </c>
      <c r="Q605" s="12">
        <v>6806.07</v>
      </c>
      <c r="R605" s="17">
        <f t="shared" si="9"/>
        <v>0.21766886273506458</v>
      </c>
    </row>
    <row r="606" spans="2:18" x14ac:dyDescent="0.3">
      <c r="B606" s="20" t="s">
        <v>1260</v>
      </c>
      <c r="C606" s="8">
        <v>45582</v>
      </c>
      <c r="D606" s="7" t="s">
        <v>1261</v>
      </c>
      <c r="E606" s="7" t="s">
        <v>59</v>
      </c>
      <c r="F606" s="7" t="s">
        <v>37</v>
      </c>
      <c r="G606" s="7">
        <v>32</v>
      </c>
      <c r="H606" s="7" t="s">
        <v>29</v>
      </c>
      <c r="I606" s="7" t="s">
        <v>21</v>
      </c>
      <c r="J606" s="7" t="s">
        <v>30</v>
      </c>
      <c r="K606" s="7" t="s">
        <v>23</v>
      </c>
      <c r="L606" s="7" t="s">
        <v>24</v>
      </c>
      <c r="M606" s="7" t="s">
        <v>52</v>
      </c>
      <c r="N606" s="7">
        <v>1</v>
      </c>
      <c r="O606" s="7">
        <v>6494</v>
      </c>
      <c r="P606" s="7">
        <v>5195.2</v>
      </c>
      <c r="Q606" s="9">
        <v>1426.04</v>
      </c>
      <c r="R606" s="17">
        <f t="shared" si="9"/>
        <v>0.27449183862026488</v>
      </c>
    </row>
    <row r="607" spans="2:18" x14ac:dyDescent="0.3">
      <c r="B607" s="21" t="s">
        <v>1262</v>
      </c>
      <c r="C607" s="11">
        <v>45586</v>
      </c>
      <c r="D607" s="10" t="s">
        <v>1263</v>
      </c>
      <c r="E607" s="10" t="s">
        <v>76</v>
      </c>
      <c r="F607" s="10" t="s">
        <v>19</v>
      </c>
      <c r="G607" s="10">
        <v>23</v>
      </c>
      <c r="H607" s="10" t="s">
        <v>56</v>
      </c>
      <c r="I607" s="10" t="s">
        <v>21</v>
      </c>
      <c r="J607" s="10" t="s">
        <v>50</v>
      </c>
      <c r="K607" s="10" t="s">
        <v>31</v>
      </c>
      <c r="L607" s="10" t="s">
        <v>32</v>
      </c>
      <c r="M607" s="10" t="s">
        <v>52</v>
      </c>
      <c r="N607" s="10">
        <v>5</v>
      </c>
      <c r="O607" s="10">
        <v>17832</v>
      </c>
      <c r="P607" s="10">
        <v>89160</v>
      </c>
      <c r="Q607" s="12">
        <v>16682.87</v>
      </c>
      <c r="R607" s="17">
        <f t="shared" si="9"/>
        <v>0.18711159712875727</v>
      </c>
    </row>
    <row r="608" spans="2:18" x14ac:dyDescent="0.3">
      <c r="B608" s="20" t="s">
        <v>1264</v>
      </c>
      <c r="C608" s="8">
        <v>45377</v>
      </c>
      <c r="D608" s="7" t="s">
        <v>1265</v>
      </c>
      <c r="E608" s="7" t="s">
        <v>59</v>
      </c>
      <c r="F608" s="7" t="s">
        <v>19</v>
      </c>
      <c r="G608" s="7">
        <v>49</v>
      </c>
      <c r="H608" s="7" t="s">
        <v>45</v>
      </c>
      <c r="I608" s="7" t="s">
        <v>21</v>
      </c>
      <c r="J608" s="7" t="s">
        <v>30</v>
      </c>
      <c r="K608" s="7" t="s">
        <v>69</v>
      </c>
      <c r="L608" s="7" t="s">
        <v>60</v>
      </c>
      <c r="M608" s="7" t="s">
        <v>52</v>
      </c>
      <c r="N608" s="7">
        <v>1</v>
      </c>
      <c r="O608" s="7">
        <v>18989</v>
      </c>
      <c r="P608" s="7">
        <v>18989</v>
      </c>
      <c r="Q608" s="9">
        <v>6840.27</v>
      </c>
      <c r="R608" s="17">
        <f t="shared" si="9"/>
        <v>0.36022276054557906</v>
      </c>
    </row>
    <row r="609" spans="2:18" x14ac:dyDescent="0.3">
      <c r="B609" s="21" t="s">
        <v>1266</v>
      </c>
      <c r="C609" s="11">
        <v>45491</v>
      </c>
      <c r="D609" s="10" t="s">
        <v>1267</v>
      </c>
      <c r="E609" s="10" t="s">
        <v>59</v>
      </c>
      <c r="F609" s="10" t="s">
        <v>19</v>
      </c>
      <c r="G609" s="10">
        <v>59</v>
      </c>
      <c r="H609" s="10" t="s">
        <v>20</v>
      </c>
      <c r="I609" s="10" t="s">
        <v>21</v>
      </c>
      <c r="J609" s="10" t="s">
        <v>50</v>
      </c>
      <c r="K609" s="10" t="s">
        <v>31</v>
      </c>
      <c r="L609" s="10" t="s">
        <v>47</v>
      </c>
      <c r="M609" s="10" t="s">
        <v>52</v>
      </c>
      <c r="N609" s="10">
        <v>1</v>
      </c>
      <c r="O609" s="10">
        <v>39079</v>
      </c>
      <c r="P609" s="10">
        <v>39079</v>
      </c>
      <c r="Q609" s="12">
        <v>13286.1</v>
      </c>
      <c r="R609" s="17">
        <f t="shared" si="9"/>
        <v>0.33998055221474449</v>
      </c>
    </row>
    <row r="610" spans="2:18" x14ac:dyDescent="0.3">
      <c r="B610" s="20" t="s">
        <v>1268</v>
      </c>
      <c r="C610" s="8">
        <v>45594</v>
      </c>
      <c r="D610" s="7" t="s">
        <v>1269</v>
      </c>
      <c r="E610" s="7" t="s">
        <v>59</v>
      </c>
      <c r="F610" s="7" t="s">
        <v>19</v>
      </c>
      <c r="G610" s="7">
        <v>55</v>
      </c>
      <c r="H610" s="7" t="s">
        <v>20</v>
      </c>
      <c r="I610" s="7" t="s">
        <v>21</v>
      </c>
      <c r="J610" s="7" t="s">
        <v>30</v>
      </c>
      <c r="K610" s="7" t="s">
        <v>23</v>
      </c>
      <c r="L610" s="7" t="s">
        <v>47</v>
      </c>
      <c r="M610" s="7" t="s">
        <v>25</v>
      </c>
      <c r="N610" s="7">
        <v>3</v>
      </c>
      <c r="O610" s="7">
        <v>10364</v>
      </c>
      <c r="P610" s="7">
        <v>31092</v>
      </c>
      <c r="Q610" s="9">
        <v>8422.23</v>
      </c>
      <c r="R610" s="17">
        <f t="shared" si="9"/>
        <v>0.27088093400231572</v>
      </c>
    </row>
    <row r="611" spans="2:18" x14ac:dyDescent="0.3">
      <c r="B611" s="21" t="s">
        <v>1270</v>
      </c>
      <c r="C611" s="11">
        <v>45493</v>
      </c>
      <c r="D611" s="10" t="s">
        <v>1271</v>
      </c>
      <c r="E611" s="10" t="s">
        <v>65</v>
      </c>
      <c r="F611" s="10" t="s">
        <v>37</v>
      </c>
      <c r="G611" s="10">
        <v>59</v>
      </c>
      <c r="H611" s="10" t="s">
        <v>29</v>
      </c>
      <c r="I611" s="10" t="s">
        <v>21</v>
      </c>
      <c r="J611" s="10" t="s">
        <v>50</v>
      </c>
      <c r="K611" s="10" t="s">
        <v>51</v>
      </c>
      <c r="L611" s="10" t="s">
        <v>47</v>
      </c>
      <c r="M611" s="10" t="s">
        <v>25</v>
      </c>
      <c r="N611" s="10">
        <v>4</v>
      </c>
      <c r="O611" s="10">
        <v>3480</v>
      </c>
      <c r="P611" s="10">
        <v>11832</v>
      </c>
      <c r="Q611" s="12">
        <v>3804.38</v>
      </c>
      <c r="R611" s="17">
        <f t="shared" si="9"/>
        <v>0.32153313049357674</v>
      </c>
    </row>
    <row r="612" spans="2:18" x14ac:dyDescent="0.3">
      <c r="B612" s="20" t="s">
        <v>1272</v>
      </c>
      <c r="C612" s="8">
        <v>45547</v>
      </c>
      <c r="D612" s="7" t="s">
        <v>1273</v>
      </c>
      <c r="E612" s="7" t="s">
        <v>79</v>
      </c>
      <c r="F612" s="7" t="s">
        <v>37</v>
      </c>
      <c r="G612" s="7">
        <v>60</v>
      </c>
      <c r="H612" s="7" t="s">
        <v>56</v>
      </c>
      <c r="I612" s="7" t="s">
        <v>21</v>
      </c>
      <c r="J612" s="7" t="s">
        <v>30</v>
      </c>
      <c r="K612" s="7" t="s">
        <v>40</v>
      </c>
      <c r="L612" s="7" t="s">
        <v>32</v>
      </c>
      <c r="M612" s="7" t="s">
        <v>33</v>
      </c>
      <c r="N612" s="7">
        <v>4</v>
      </c>
      <c r="O612" s="7">
        <v>24103</v>
      </c>
      <c r="P612" s="7">
        <v>77129.600000000006</v>
      </c>
      <c r="Q612" s="9">
        <v>30228.26</v>
      </c>
      <c r="R612" s="17">
        <f t="shared" si="9"/>
        <v>0.39191516616188848</v>
      </c>
    </row>
    <row r="613" spans="2:18" x14ac:dyDescent="0.3">
      <c r="B613" s="21" t="s">
        <v>1274</v>
      </c>
      <c r="C613" s="11">
        <v>45352</v>
      </c>
      <c r="D613" s="10" t="s">
        <v>1275</v>
      </c>
      <c r="E613" s="10" t="s">
        <v>44</v>
      </c>
      <c r="F613" s="10" t="s">
        <v>37</v>
      </c>
      <c r="G613" s="10">
        <v>49</v>
      </c>
      <c r="H613" s="10" t="s">
        <v>56</v>
      </c>
      <c r="I613" s="10" t="s">
        <v>39</v>
      </c>
      <c r="J613" s="10" t="s">
        <v>22</v>
      </c>
      <c r="K613" s="10" t="s">
        <v>40</v>
      </c>
      <c r="L613" s="10" t="s">
        <v>47</v>
      </c>
      <c r="M613" s="10" t="s">
        <v>41</v>
      </c>
      <c r="N613" s="10">
        <v>2</v>
      </c>
      <c r="O613" s="10">
        <v>35546</v>
      </c>
      <c r="P613" s="10">
        <v>63982.8</v>
      </c>
      <c r="Q613" s="12">
        <v>10561.59</v>
      </c>
      <c r="R613" s="17">
        <f t="shared" si="9"/>
        <v>0.16506920609913914</v>
      </c>
    </row>
    <row r="614" spans="2:18" x14ac:dyDescent="0.3">
      <c r="B614" s="20" t="s">
        <v>1276</v>
      </c>
      <c r="C614" s="8">
        <v>45608</v>
      </c>
      <c r="D614" s="7" t="s">
        <v>1277</v>
      </c>
      <c r="E614" s="7" t="s">
        <v>55</v>
      </c>
      <c r="F614" s="7" t="s">
        <v>19</v>
      </c>
      <c r="G614" s="7">
        <v>60</v>
      </c>
      <c r="H614" s="7" t="s">
        <v>56</v>
      </c>
      <c r="I614" s="7" t="s">
        <v>21</v>
      </c>
      <c r="J614" s="7" t="s">
        <v>22</v>
      </c>
      <c r="K614" s="7" t="s">
        <v>51</v>
      </c>
      <c r="L614" s="7" t="s">
        <v>60</v>
      </c>
      <c r="M614" s="7" t="s">
        <v>33</v>
      </c>
      <c r="N614" s="7">
        <v>2</v>
      </c>
      <c r="O614" s="7">
        <v>45698</v>
      </c>
      <c r="P614" s="7">
        <v>91396</v>
      </c>
      <c r="Q614" s="9">
        <v>25642.17</v>
      </c>
      <c r="R614" s="17">
        <f t="shared" si="9"/>
        <v>0.28056118429690574</v>
      </c>
    </row>
    <row r="615" spans="2:18" x14ac:dyDescent="0.3">
      <c r="B615" s="21" t="s">
        <v>1278</v>
      </c>
      <c r="C615" s="11">
        <v>45300</v>
      </c>
      <c r="D615" s="10" t="s">
        <v>1279</v>
      </c>
      <c r="E615" s="10" t="s">
        <v>28</v>
      </c>
      <c r="F615" s="10" t="s">
        <v>19</v>
      </c>
      <c r="G615" s="10">
        <v>52</v>
      </c>
      <c r="H615" s="10" t="s">
        <v>38</v>
      </c>
      <c r="I615" s="10" t="s">
        <v>21</v>
      </c>
      <c r="J615" s="10" t="s">
        <v>50</v>
      </c>
      <c r="K615" s="10" t="s">
        <v>51</v>
      </c>
      <c r="L615" s="10" t="s">
        <v>80</v>
      </c>
      <c r="M615" s="10" t="s">
        <v>52</v>
      </c>
      <c r="N615" s="10">
        <v>3</v>
      </c>
      <c r="O615" s="10">
        <v>19058</v>
      </c>
      <c r="P615" s="10">
        <v>45739.199999999997</v>
      </c>
      <c r="Q615" s="12">
        <v>11011.18</v>
      </c>
      <c r="R615" s="17">
        <f t="shared" si="9"/>
        <v>0.24073836009374894</v>
      </c>
    </row>
    <row r="616" spans="2:18" x14ac:dyDescent="0.3">
      <c r="B616" s="20" t="s">
        <v>1280</v>
      </c>
      <c r="C616" s="8">
        <v>45297</v>
      </c>
      <c r="D616" s="7" t="s">
        <v>1281</v>
      </c>
      <c r="E616" s="7" t="s">
        <v>79</v>
      </c>
      <c r="F616" s="7" t="s">
        <v>37</v>
      </c>
      <c r="G616" s="7">
        <v>45</v>
      </c>
      <c r="H616" s="7" t="s">
        <v>56</v>
      </c>
      <c r="I616" s="7" t="s">
        <v>21</v>
      </c>
      <c r="J616" s="7" t="s">
        <v>30</v>
      </c>
      <c r="K616" s="7" t="s">
        <v>40</v>
      </c>
      <c r="L616" s="7" t="s">
        <v>32</v>
      </c>
      <c r="M616" s="7" t="s">
        <v>41</v>
      </c>
      <c r="N616" s="7">
        <v>4</v>
      </c>
      <c r="O616" s="7">
        <v>22898</v>
      </c>
      <c r="P616" s="7">
        <v>82432.800000000003</v>
      </c>
      <c r="Q616" s="9">
        <v>21177.61</v>
      </c>
      <c r="R616" s="17">
        <f t="shared" si="9"/>
        <v>0.25690756592036179</v>
      </c>
    </row>
    <row r="617" spans="2:18" x14ac:dyDescent="0.3">
      <c r="B617" s="21" t="s">
        <v>1282</v>
      </c>
      <c r="C617" s="11">
        <v>45366</v>
      </c>
      <c r="D617" s="10" t="s">
        <v>1283</v>
      </c>
      <c r="E617" s="10" t="s">
        <v>79</v>
      </c>
      <c r="F617" s="10" t="s">
        <v>19</v>
      </c>
      <c r="G617" s="10">
        <v>58</v>
      </c>
      <c r="H617" s="10" t="s">
        <v>45</v>
      </c>
      <c r="I617" s="10" t="s">
        <v>39</v>
      </c>
      <c r="J617" s="10" t="s">
        <v>22</v>
      </c>
      <c r="K617" s="10" t="s">
        <v>31</v>
      </c>
      <c r="L617" s="10" t="s">
        <v>60</v>
      </c>
      <c r="M617" s="10" t="s">
        <v>41</v>
      </c>
      <c r="N617" s="10">
        <v>5</v>
      </c>
      <c r="O617" s="10">
        <v>43821</v>
      </c>
      <c r="P617" s="10">
        <v>208149.75</v>
      </c>
      <c r="Q617" s="12">
        <v>53539.73</v>
      </c>
      <c r="R617" s="17">
        <f t="shared" si="9"/>
        <v>0.25721736394110489</v>
      </c>
    </row>
    <row r="618" spans="2:18" x14ac:dyDescent="0.3">
      <c r="B618" s="20" t="s">
        <v>1284</v>
      </c>
      <c r="C618" s="8">
        <v>45432</v>
      </c>
      <c r="D618" s="7" t="s">
        <v>1285</v>
      </c>
      <c r="E618" s="7" t="s">
        <v>44</v>
      </c>
      <c r="F618" s="7" t="s">
        <v>19</v>
      </c>
      <c r="G618" s="7">
        <v>60</v>
      </c>
      <c r="H618" s="7" t="s">
        <v>29</v>
      </c>
      <c r="I618" s="7" t="s">
        <v>21</v>
      </c>
      <c r="J618" s="7" t="s">
        <v>50</v>
      </c>
      <c r="K618" s="7" t="s">
        <v>23</v>
      </c>
      <c r="L618" s="7" t="s">
        <v>47</v>
      </c>
      <c r="M618" s="7" t="s">
        <v>52</v>
      </c>
      <c r="N618" s="7">
        <v>4</v>
      </c>
      <c r="O618" s="7">
        <v>15631</v>
      </c>
      <c r="P618" s="7">
        <v>59397.8</v>
      </c>
      <c r="Q618" s="9">
        <v>10914.92</v>
      </c>
      <c r="R618" s="17">
        <f t="shared" si="9"/>
        <v>0.18375966786648662</v>
      </c>
    </row>
    <row r="619" spans="2:18" x14ac:dyDescent="0.3">
      <c r="B619" s="21" t="s">
        <v>1286</v>
      </c>
      <c r="C619" s="11">
        <v>45394</v>
      </c>
      <c r="D619" s="10" t="s">
        <v>1287</v>
      </c>
      <c r="E619" s="10" t="s">
        <v>55</v>
      </c>
      <c r="F619" s="10" t="s">
        <v>19</v>
      </c>
      <c r="G619" s="10">
        <v>44</v>
      </c>
      <c r="H619" s="10" t="s">
        <v>45</v>
      </c>
      <c r="I619" s="10" t="s">
        <v>21</v>
      </c>
      <c r="J619" s="10" t="s">
        <v>50</v>
      </c>
      <c r="K619" s="10" t="s">
        <v>51</v>
      </c>
      <c r="L619" s="10" t="s">
        <v>80</v>
      </c>
      <c r="M619" s="10" t="s">
        <v>52</v>
      </c>
      <c r="N619" s="10">
        <v>4</v>
      </c>
      <c r="O619" s="10">
        <v>22257</v>
      </c>
      <c r="P619" s="10">
        <v>80125.2</v>
      </c>
      <c r="Q619" s="12">
        <v>19285.189999999999</v>
      </c>
      <c r="R619" s="17">
        <f t="shared" si="9"/>
        <v>0.24068819797017665</v>
      </c>
    </row>
    <row r="620" spans="2:18" x14ac:dyDescent="0.3">
      <c r="B620" s="20" t="s">
        <v>1288</v>
      </c>
      <c r="C620" s="8">
        <v>45620</v>
      </c>
      <c r="D620" s="7" t="s">
        <v>1289</v>
      </c>
      <c r="E620" s="7" t="s">
        <v>18</v>
      </c>
      <c r="F620" s="7" t="s">
        <v>37</v>
      </c>
      <c r="G620" s="7">
        <v>32</v>
      </c>
      <c r="H620" s="7" t="s">
        <v>45</v>
      </c>
      <c r="I620" s="7" t="s">
        <v>21</v>
      </c>
      <c r="J620" s="7" t="s">
        <v>22</v>
      </c>
      <c r="K620" s="7" t="s">
        <v>40</v>
      </c>
      <c r="L620" s="7" t="s">
        <v>47</v>
      </c>
      <c r="M620" s="7" t="s">
        <v>33</v>
      </c>
      <c r="N620" s="7">
        <v>4</v>
      </c>
      <c r="O620" s="7">
        <v>36279</v>
      </c>
      <c r="P620" s="7">
        <v>137860.20000000001</v>
      </c>
      <c r="Q620" s="9">
        <v>51502.080000000002</v>
      </c>
      <c r="R620" s="17">
        <f t="shared" si="9"/>
        <v>0.37358193300169301</v>
      </c>
    </row>
    <row r="621" spans="2:18" x14ac:dyDescent="0.3">
      <c r="B621" s="21" t="s">
        <v>1290</v>
      </c>
      <c r="C621" s="11">
        <v>45299</v>
      </c>
      <c r="D621" s="10" t="s">
        <v>1291</v>
      </c>
      <c r="E621" s="10" t="s">
        <v>18</v>
      </c>
      <c r="F621" s="10" t="s">
        <v>37</v>
      </c>
      <c r="G621" s="10">
        <v>37</v>
      </c>
      <c r="H621" s="10" t="s">
        <v>45</v>
      </c>
      <c r="I621" s="10" t="s">
        <v>21</v>
      </c>
      <c r="J621" s="10" t="s">
        <v>50</v>
      </c>
      <c r="K621" s="10" t="s">
        <v>31</v>
      </c>
      <c r="L621" s="10" t="s">
        <v>32</v>
      </c>
      <c r="M621" s="10" t="s">
        <v>52</v>
      </c>
      <c r="N621" s="10">
        <v>2</v>
      </c>
      <c r="O621" s="10">
        <v>47252</v>
      </c>
      <c r="P621" s="10">
        <v>94504</v>
      </c>
      <c r="Q621" s="12">
        <v>29003.29</v>
      </c>
      <c r="R621" s="17">
        <f t="shared" si="9"/>
        <v>0.30690013121137732</v>
      </c>
    </row>
    <row r="622" spans="2:18" x14ac:dyDescent="0.3">
      <c r="B622" s="20" t="s">
        <v>1292</v>
      </c>
      <c r="C622" s="8">
        <v>45537</v>
      </c>
      <c r="D622" s="7" t="s">
        <v>1293</v>
      </c>
      <c r="E622" s="7" t="s">
        <v>93</v>
      </c>
      <c r="F622" s="7" t="s">
        <v>37</v>
      </c>
      <c r="G622" s="7">
        <v>19</v>
      </c>
      <c r="H622" s="7" t="s">
        <v>56</v>
      </c>
      <c r="I622" s="7" t="s">
        <v>21</v>
      </c>
      <c r="J622" s="7" t="s">
        <v>30</v>
      </c>
      <c r="K622" s="7" t="s">
        <v>51</v>
      </c>
      <c r="L622" s="7" t="s">
        <v>60</v>
      </c>
      <c r="M622" s="7" t="s">
        <v>52</v>
      </c>
      <c r="N622" s="7">
        <v>1</v>
      </c>
      <c r="O622" s="7">
        <v>7716</v>
      </c>
      <c r="P622" s="7">
        <v>6944.4</v>
      </c>
      <c r="Q622" s="9">
        <v>2459.65</v>
      </c>
      <c r="R622" s="17">
        <f t="shared" si="9"/>
        <v>0.35419186682794773</v>
      </c>
    </row>
    <row r="623" spans="2:18" x14ac:dyDescent="0.3">
      <c r="B623" s="21" t="s">
        <v>1294</v>
      </c>
      <c r="C623" s="11">
        <v>45605</v>
      </c>
      <c r="D623" s="10" t="s">
        <v>1295</v>
      </c>
      <c r="E623" s="10" t="s">
        <v>65</v>
      </c>
      <c r="F623" s="10" t="s">
        <v>37</v>
      </c>
      <c r="G623" s="10">
        <v>52</v>
      </c>
      <c r="H623" s="10" t="s">
        <v>66</v>
      </c>
      <c r="I623" s="10" t="s">
        <v>21</v>
      </c>
      <c r="J623" s="10" t="s">
        <v>30</v>
      </c>
      <c r="K623" s="10" t="s">
        <v>69</v>
      </c>
      <c r="L623" s="10" t="s">
        <v>60</v>
      </c>
      <c r="M623" s="10" t="s">
        <v>41</v>
      </c>
      <c r="N623" s="10">
        <v>5</v>
      </c>
      <c r="O623" s="10">
        <v>32560</v>
      </c>
      <c r="P623" s="10">
        <v>130240</v>
      </c>
      <c r="Q623" s="12">
        <v>31115.91</v>
      </c>
      <c r="R623" s="17">
        <f t="shared" si="9"/>
        <v>0.23891208538083539</v>
      </c>
    </row>
    <row r="624" spans="2:18" x14ac:dyDescent="0.3">
      <c r="B624" s="20" t="s">
        <v>1296</v>
      </c>
      <c r="C624" s="8">
        <v>45318</v>
      </c>
      <c r="D624" s="7" t="s">
        <v>1297</v>
      </c>
      <c r="E624" s="7" t="s">
        <v>76</v>
      </c>
      <c r="F624" s="7" t="s">
        <v>19</v>
      </c>
      <c r="G624" s="7">
        <v>28</v>
      </c>
      <c r="H624" s="7" t="s">
        <v>45</v>
      </c>
      <c r="I624" s="7" t="s">
        <v>21</v>
      </c>
      <c r="J624" s="7" t="s">
        <v>22</v>
      </c>
      <c r="K624" s="7" t="s">
        <v>51</v>
      </c>
      <c r="L624" s="7" t="s">
        <v>60</v>
      </c>
      <c r="M624" s="7" t="s">
        <v>25</v>
      </c>
      <c r="N624" s="7">
        <v>5</v>
      </c>
      <c r="O624" s="7">
        <v>37949</v>
      </c>
      <c r="P624" s="7">
        <v>170770.5</v>
      </c>
      <c r="Q624" s="9">
        <v>29050.2</v>
      </c>
      <c r="R624" s="17">
        <f t="shared" si="9"/>
        <v>0.17011251943397718</v>
      </c>
    </row>
    <row r="625" spans="2:18" x14ac:dyDescent="0.3">
      <c r="B625" s="21" t="s">
        <v>1298</v>
      </c>
      <c r="C625" s="11">
        <v>45605</v>
      </c>
      <c r="D625" s="10" t="s">
        <v>1299</v>
      </c>
      <c r="E625" s="10" t="s">
        <v>76</v>
      </c>
      <c r="F625" s="10" t="s">
        <v>37</v>
      </c>
      <c r="G625" s="10">
        <v>45</v>
      </c>
      <c r="H625" s="10" t="s">
        <v>38</v>
      </c>
      <c r="I625" s="10" t="s">
        <v>39</v>
      </c>
      <c r="J625" s="10" t="s">
        <v>50</v>
      </c>
      <c r="K625" s="10" t="s">
        <v>40</v>
      </c>
      <c r="L625" s="10" t="s">
        <v>80</v>
      </c>
      <c r="M625" s="10" t="s">
        <v>41</v>
      </c>
      <c r="N625" s="10">
        <v>2</v>
      </c>
      <c r="O625" s="10">
        <v>28061</v>
      </c>
      <c r="P625" s="10">
        <v>50509.8</v>
      </c>
      <c r="Q625" s="12">
        <v>19326.2</v>
      </c>
      <c r="R625" s="17">
        <f t="shared" si="9"/>
        <v>0.38262277815394241</v>
      </c>
    </row>
    <row r="626" spans="2:18" x14ac:dyDescent="0.3">
      <c r="B626" s="20" t="s">
        <v>1300</v>
      </c>
      <c r="C626" s="8">
        <v>45420</v>
      </c>
      <c r="D626" s="7" t="s">
        <v>1301</v>
      </c>
      <c r="E626" s="7" t="s">
        <v>44</v>
      </c>
      <c r="F626" s="7" t="s">
        <v>37</v>
      </c>
      <c r="G626" s="7">
        <v>36</v>
      </c>
      <c r="H626" s="7" t="s">
        <v>45</v>
      </c>
      <c r="I626" s="7" t="s">
        <v>39</v>
      </c>
      <c r="J626" s="7" t="s">
        <v>50</v>
      </c>
      <c r="K626" s="7" t="s">
        <v>31</v>
      </c>
      <c r="L626" s="7" t="s">
        <v>60</v>
      </c>
      <c r="M626" s="7" t="s">
        <v>52</v>
      </c>
      <c r="N626" s="7">
        <v>3</v>
      </c>
      <c r="O626" s="7">
        <v>35994</v>
      </c>
      <c r="P626" s="7">
        <v>86385.600000000006</v>
      </c>
      <c r="Q626" s="9">
        <v>19699.310000000001</v>
      </c>
      <c r="R626" s="17">
        <f t="shared" si="9"/>
        <v>0.22803927969476395</v>
      </c>
    </row>
    <row r="627" spans="2:18" x14ac:dyDescent="0.3">
      <c r="B627" s="21" t="s">
        <v>1302</v>
      </c>
      <c r="C627" s="11">
        <v>45331</v>
      </c>
      <c r="D627" s="10" t="s">
        <v>1303</v>
      </c>
      <c r="E627" s="10" t="s">
        <v>76</v>
      </c>
      <c r="F627" s="10" t="s">
        <v>37</v>
      </c>
      <c r="G627" s="10">
        <v>30</v>
      </c>
      <c r="H627" s="10" t="s">
        <v>38</v>
      </c>
      <c r="I627" s="10" t="s">
        <v>46</v>
      </c>
      <c r="J627" s="10" t="s">
        <v>50</v>
      </c>
      <c r="K627" s="10" t="s">
        <v>31</v>
      </c>
      <c r="L627" s="10" t="s">
        <v>80</v>
      </c>
      <c r="M627" s="10" t="s">
        <v>41</v>
      </c>
      <c r="N627" s="10">
        <v>3</v>
      </c>
      <c r="O627" s="10">
        <v>47709</v>
      </c>
      <c r="P627" s="10">
        <v>143127</v>
      </c>
      <c r="Q627" s="12">
        <v>34113.01</v>
      </c>
      <c r="R627" s="17">
        <f t="shared" si="9"/>
        <v>0.23834084414540935</v>
      </c>
    </row>
    <row r="628" spans="2:18" x14ac:dyDescent="0.3">
      <c r="B628" s="20" t="s">
        <v>1304</v>
      </c>
      <c r="C628" s="8">
        <v>45368</v>
      </c>
      <c r="D628" s="7" t="s">
        <v>1305</v>
      </c>
      <c r="E628" s="7" t="s">
        <v>59</v>
      </c>
      <c r="F628" s="7" t="s">
        <v>19</v>
      </c>
      <c r="G628" s="7">
        <v>21</v>
      </c>
      <c r="H628" s="7" t="s">
        <v>38</v>
      </c>
      <c r="I628" s="7" t="s">
        <v>39</v>
      </c>
      <c r="J628" s="7" t="s">
        <v>50</v>
      </c>
      <c r="K628" s="7" t="s">
        <v>40</v>
      </c>
      <c r="L628" s="7" t="s">
        <v>80</v>
      </c>
      <c r="M628" s="7" t="s">
        <v>25</v>
      </c>
      <c r="N628" s="7">
        <v>4</v>
      </c>
      <c r="O628" s="7">
        <v>40581</v>
      </c>
      <c r="P628" s="7">
        <v>146091.6</v>
      </c>
      <c r="Q628" s="9">
        <v>43985.43</v>
      </c>
      <c r="R628" s="17">
        <f t="shared" si="9"/>
        <v>0.30108117099135062</v>
      </c>
    </row>
    <row r="629" spans="2:18" x14ac:dyDescent="0.3">
      <c r="B629" s="21" t="s">
        <v>1306</v>
      </c>
      <c r="C629" s="11">
        <v>45311</v>
      </c>
      <c r="D629" s="10" t="s">
        <v>1307</v>
      </c>
      <c r="E629" s="10" t="s">
        <v>44</v>
      </c>
      <c r="F629" s="10" t="s">
        <v>19</v>
      </c>
      <c r="G629" s="10">
        <v>46</v>
      </c>
      <c r="H629" s="10" t="s">
        <v>20</v>
      </c>
      <c r="I629" s="10" t="s">
        <v>21</v>
      </c>
      <c r="J629" s="10" t="s">
        <v>30</v>
      </c>
      <c r="K629" s="10" t="s">
        <v>23</v>
      </c>
      <c r="L629" s="10" t="s">
        <v>24</v>
      </c>
      <c r="M629" s="10" t="s">
        <v>33</v>
      </c>
      <c r="N629" s="10">
        <v>4</v>
      </c>
      <c r="O629" s="10">
        <v>10828</v>
      </c>
      <c r="P629" s="10">
        <v>34649.599999999999</v>
      </c>
      <c r="Q629" s="12">
        <v>13367.62</v>
      </c>
      <c r="R629" s="17">
        <f t="shared" si="9"/>
        <v>0.38579435260435913</v>
      </c>
    </row>
    <row r="630" spans="2:18" x14ac:dyDescent="0.3">
      <c r="B630" s="20" t="s">
        <v>1308</v>
      </c>
      <c r="C630" s="8">
        <v>45374</v>
      </c>
      <c r="D630" s="7" t="s">
        <v>1309</v>
      </c>
      <c r="E630" s="7" t="s">
        <v>65</v>
      </c>
      <c r="F630" s="7" t="s">
        <v>19</v>
      </c>
      <c r="G630" s="7">
        <v>21</v>
      </c>
      <c r="H630" s="7" t="s">
        <v>66</v>
      </c>
      <c r="I630" s="7" t="s">
        <v>21</v>
      </c>
      <c r="J630" s="7" t="s">
        <v>50</v>
      </c>
      <c r="K630" s="7" t="s">
        <v>69</v>
      </c>
      <c r="L630" s="7" t="s">
        <v>24</v>
      </c>
      <c r="M630" s="7" t="s">
        <v>41</v>
      </c>
      <c r="N630" s="7">
        <v>1</v>
      </c>
      <c r="O630" s="7">
        <v>45761</v>
      </c>
      <c r="P630" s="7">
        <v>43472.95</v>
      </c>
      <c r="Q630" s="9">
        <v>16134.88</v>
      </c>
      <c r="R630" s="17">
        <f t="shared" si="9"/>
        <v>0.37114757567636886</v>
      </c>
    </row>
    <row r="631" spans="2:18" x14ac:dyDescent="0.3">
      <c r="B631" s="21" t="s">
        <v>1310</v>
      </c>
      <c r="C631" s="11">
        <v>45587</v>
      </c>
      <c r="D631" s="10" t="s">
        <v>1311</v>
      </c>
      <c r="E631" s="10" t="s">
        <v>59</v>
      </c>
      <c r="F631" s="10" t="s">
        <v>19</v>
      </c>
      <c r="G631" s="10">
        <v>49</v>
      </c>
      <c r="H631" s="10" t="s">
        <v>20</v>
      </c>
      <c r="I631" s="10" t="s">
        <v>21</v>
      </c>
      <c r="J631" s="10" t="s">
        <v>30</v>
      </c>
      <c r="K631" s="10" t="s">
        <v>51</v>
      </c>
      <c r="L631" s="10" t="s">
        <v>60</v>
      </c>
      <c r="M631" s="10" t="s">
        <v>33</v>
      </c>
      <c r="N631" s="10">
        <v>5</v>
      </c>
      <c r="O631" s="10">
        <v>44723</v>
      </c>
      <c r="P631" s="10">
        <v>212434.25</v>
      </c>
      <c r="Q631" s="12">
        <v>72536.289999999994</v>
      </c>
      <c r="R631" s="17">
        <f t="shared" si="9"/>
        <v>0.34145289660212508</v>
      </c>
    </row>
    <row r="632" spans="2:18" x14ac:dyDescent="0.3">
      <c r="B632" s="20" t="s">
        <v>1312</v>
      </c>
      <c r="C632" s="8">
        <v>45386</v>
      </c>
      <c r="D632" s="7" t="s">
        <v>1313</v>
      </c>
      <c r="E632" s="7" t="s">
        <v>28</v>
      </c>
      <c r="F632" s="7" t="s">
        <v>19</v>
      </c>
      <c r="G632" s="7">
        <v>43</v>
      </c>
      <c r="H632" s="7" t="s">
        <v>29</v>
      </c>
      <c r="I632" s="7" t="s">
        <v>21</v>
      </c>
      <c r="J632" s="7" t="s">
        <v>50</v>
      </c>
      <c r="K632" s="7" t="s">
        <v>40</v>
      </c>
      <c r="L632" s="7" t="s">
        <v>80</v>
      </c>
      <c r="M632" s="7" t="s">
        <v>41</v>
      </c>
      <c r="N632" s="7">
        <v>1</v>
      </c>
      <c r="O632" s="7">
        <v>39278</v>
      </c>
      <c r="P632" s="7">
        <v>39278</v>
      </c>
      <c r="Q632" s="9">
        <v>15567.72</v>
      </c>
      <c r="R632" s="17">
        <f t="shared" si="9"/>
        <v>0.39634706451448648</v>
      </c>
    </row>
    <row r="633" spans="2:18" x14ac:dyDescent="0.3">
      <c r="B633" s="21" t="s">
        <v>1314</v>
      </c>
      <c r="C633" s="11">
        <v>45496</v>
      </c>
      <c r="D633" s="10" t="s">
        <v>1315</v>
      </c>
      <c r="E633" s="10" t="s">
        <v>28</v>
      </c>
      <c r="F633" s="10" t="s">
        <v>19</v>
      </c>
      <c r="G633" s="10">
        <v>42</v>
      </c>
      <c r="H633" s="10" t="s">
        <v>56</v>
      </c>
      <c r="I633" s="10" t="s">
        <v>39</v>
      </c>
      <c r="J633" s="10" t="s">
        <v>22</v>
      </c>
      <c r="K633" s="10" t="s">
        <v>40</v>
      </c>
      <c r="L633" s="10" t="s">
        <v>32</v>
      </c>
      <c r="M633" s="10" t="s">
        <v>25</v>
      </c>
      <c r="N633" s="10">
        <v>5</v>
      </c>
      <c r="O633" s="10">
        <v>46311</v>
      </c>
      <c r="P633" s="10">
        <v>219977.25</v>
      </c>
      <c r="Q633" s="12">
        <v>37552.99</v>
      </c>
      <c r="R633" s="17">
        <f t="shared" si="9"/>
        <v>0.17071306237349543</v>
      </c>
    </row>
    <row r="634" spans="2:18" x14ac:dyDescent="0.3">
      <c r="B634" s="20" t="s">
        <v>1316</v>
      </c>
      <c r="C634" s="8">
        <v>45299</v>
      </c>
      <c r="D634" s="7" t="s">
        <v>1317</v>
      </c>
      <c r="E634" s="7" t="s">
        <v>44</v>
      </c>
      <c r="F634" s="7" t="s">
        <v>37</v>
      </c>
      <c r="G634" s="7">
        <v>36</v>
      </c>
      <c r="H634" s="7" t="s">
        <v>20</v>
      </c>
      <c r="I634" s="7" t="s">
        <v>21</v>
      </c>
      <c r="J634" s="7" t="s">
        <v>30</v>
      </c>
      <c r="K634" s="7" t="s">
        <v>69</v>
      </c>
      <c r="L634" s="7" t="s">
        <v>32</v>
      </c>
      <c r="M634" s="7" t="s">
        <v>52</v>
      </c>
      <c r="N634" s="7">
        <v>3</v>
      </c>
      <c r="O634" s="7">
        <v>5774</v>
      </c>
      <c r="P634" s="7">
        <v>13857.6</v>
      </c>
      <c r="Q634" s="9">
        <v>2251.64</v>
      </c>
      <c r="R634" s="17">
        <f t="shared" si="9"/>
        <v>0.16248412423507677</v>
      </c>
    </row>
    <row r="635" spans="2:18" x14ac:dyDescent="0.3">
      <c r="B635" s="21" t="s">
        <v>1318</v>
      </c>
      <c r="C635" s="11">
        <v>45397</v>
      </c>
      <c r="D635" s="10" t="s">
        <v>1319</v>
      </c>
      <c r="E635" s="10" t="s">
        <v>44</v>
      </c>
      <c r="F635" s="10" t="s">
        <v>37</v>
      </c>
      <c r="G635" s="10">
        <v>21</v>
      </c>
      <c r="H635" s="10" t="s">
        <v>66</v>
      </c>
      <c r="I635" s="10" t="s">
        <v>21</v>
      </c>
      <c r="J635" s="10" t="s">
        <v>30</v>
      </c>
      <c r="K635" s="10" t="s">
        <v>51</v>
      </c>
      <c r="L635" s="10" t="s">
        <v>32</v>
      </c>
      <c r="M635" s="10" t="s">
        <v>33</v>
      </c>
      <c r="N635" s="10">
        <v>5</v>
      </c>
      <c r="O635" s="10">
        <v>37756</v>
      </c>
      <c r="P635" s="10">
        <v>169902</v>
      </c>
      <c r="Q635" s="12">
        <v>47239.29</v>
      </c>
      <c r="R635" s="17">
        <f t="shared" si="9"/>
        <v>0.27803845746371436</v>
      </c>
    </row>
    <row r="636" spans="2:18" x14ac:dyDescent="0.3">
      <c r="B636" s="20" t="s">
        <v>1320</v>
      </c>
      <c r="C636" s="8">
        <v>45654</v>
      </c>
      <c r="D636" s="7" t="s">
        <v>1321</v>
      </c>
      <c r="E636" s="7" t="s">
        <v>59</v>
      </c>
      <c r="F636" s="7" t="s">
        <v>19</v>
      </c>
      <c r="G636" s="7">
        <v>51</v>
      </c>
      <c r="H636" s="7" t="s">
        <v>56</v>
      </c>
      <c r="I636" s="7" t="s">
        <v>21</v>
      </c>
      <c r="J636" s="7" t="s">
        <v>22</v>
      </c>
      <c r="K636" s="7" t="s">
        <v>31</v>
      </c>
      <c r="L636" s="7" t="s">
        <v>47</v>
      </c>
      <c r="M636" s="7" t="s">
        <v>33</v>
      </c>
      <c r="N636" s="7">
        <v>1</v>
      </c>
      <c r="O636" s="7">
        <v>10370</v>
      </c>
      <c r="P636" s="7">
        <v>10370</v>
      </c>
      <c r="Q636" s="9">
        <v>2266.7600000000002</v>
      </c>
      <c r="R636" s="17">
        <f t="shared" si="9"/>
        <v>0.21858823529411767</v>
      </c>
    </row>
    <row r="637" spans="2:18" x14ac:dyDescent="0.3">
      <c r="B637" s="21" t="s">
        <v>1322</v>
      </c>
      <c r="C637" s="11">
        <v>45528</v>
      </c>
      <c r="D637" s="10" t="s">
        <v>1323</v>
      </c>
      <c r="E637" s="10" t="s">
        <v>76</v>
      </c>
      <c r="F637" s="10" t="s">
        <v>19</v>
      </c>
      <c r="G637" s="10">
        <v>35</v>
      </c>
      <c r="H637" s="10" t="s">
        <v>20</v>
      </c>
      <c r="I637" s="10" t="s">
        <v>21</v>
      </c>
      <c r="J637" s="10" t="s">
        <v>30</v>
      </c>
      <c r="K637" s="10" t="s">
        <v>23</v>
      </c>
      <c r="L637" s="10" t="s">
        <v>32</v>
      </c>
      <c r="M637" s="10" t="s">
        <v>41</v>
      </c>
      <c r="N637" s="10">
        <v>5</v>
      </c>
      <c r="O637" s="10">
        <v>4516</v>
      </c>
      <c r="P637" s="10">
        <v>18064</v>
      </c>
      <c r="Q637" s="12">
        <v>6696.36</v>
      </c>
      <c r="R637" s="17">
        <f t="shared" si="9"/>
        <v>0.37070194862710359</v>
      </c>
    </row>
    <row r="638" spans="2:18" x14ac:dyDescent="0.3">
      <c r="B638" s="20" t="s">
        <v>1324</v>
      </c>
      <c r="C638" s="8">
        <v>45297</v>
      </c>
      <c r="D638" s="7" t="s">
        <v>1325</v>
      </c>
      <c r="E638" s="7" t="s">
        <v>93</v>
      </c>
      <c r="F638" s="7" t="s">
        <v>19</v>
      </c>
      <c r="G638" s="7">
        <v>55</v>
      </c>
      <c r="H638" s="7" t="s">
        <v>29</v>
      </c>
      <c r="I638" s="7" t="s">
        <v>21</v>
      </c>
      <c r="J638" s="7" t="s">
        <v>30</v>
      </c>
      <c r="K638" s="7" t="s">
        <v>40</v>
      </c>
      <c r="L638" s="7" t="s">
        <v>60</v>
      </c>
      <c r="M638" s="7" t="s">
        <v>52</v>
      </c>
      <c r="N638" s="7">
        <v>4</v>
      </c>
      <c r="O638" s="7">
        <v>38078</v>
      </c>
      <c r="P638" s="7">
        <v>137080.79999999999</v>
      </c>
      <c r="Q638" s="9">
        <v>53880.69</v>
      </c>
      <c r="R638" s="17">
        <f t="shared" si="9"/>
        <v>0.39305788994520025</v>
      </c>
    </row>
    <row r="639" spans="2:18" x14ac:dyDescent="0.3">
      <c r="B639" s="21" t="s">
        <v>1326</v>
      </c>
      <c r="C639" s="11">
        <v>45640</v>
      </c>
      <c r="D639" s="10" t="s">
        <v>1327</v>
      </c>
      <c r="E639" s="10" t="s">
        <v>59</v>
      </c>
      <c r="F639" s="10" t="s">
        <v>19</v>
      </c>
      <c r="G639" s="10">
        <v>47</v>
      </c>
      <c r="H639" s="10" t="s">
        <v>45</v>
      </c>
      <c r="I639" s="10" t="s">
        <v>21</v>
      </c>
      <c r="J639" s="10" t="s">
        <v>50</v>
      </c>
      <c r="K639" s="10" t="s">
        <v>23</v>
      </c>
      <c r="L639" s="10" t="s">
        <v>60</v>
      </c>
      <c r="M639" s="10" t="s">
        <v>52</v>
      </c>
      <c r="N639" s="10">
        <v>3</v>
      </c>
      <c r="O639" s="10">
        <v>44100</v>
      </c>
      <c r="P639" s="10">
        <v>125685</v>
      </c>
      <c r="Q639" s="12">
        <v>24917.45</v>
      </c>
      <c r="R639" s="17">
        <f t="shared" si="9"/>
        <v>0.19825317261407488</v>
      </c>
    </row>
    <row r="640" spans="2:18" x14ac:dyDescent="0.3">
      <c r="B640" s="20" t="s">
        <v>1328</v>
      </c>
      <c r="C640" s="8">
        <v>45297</v>
      </c>
      <c r="D640" s="7" t="s">
        <v>1329</v>
      </c>
      <c r="E640" s="7" t="s">
        <v>18</v>
      </c>
      <c r="F640" s="7" t="s">
        <v>19</v>
      </c>
      <c r="G640" s="7">
        <v>57</v>
      </c>
      <c r="H640" s="7" t="s">
        <v>20</v>
      </c>
      <c r="I640" s="7" t="s">
        <v>46</v>
      </c>
      <c r="J640" s="7" t="s">
        <v>50</v>
      </c>
      <c r="K640" s="7" t="s">
        <v>69</v>
      </c>
      <c r="L640" s="7" t="s">
        <v>32</v>
      </c>
      <c r="M640" s="7" t="s">
        <v>52</v>
      </c>
      <c r="N640" s="7">
        <v>4</v>
      </c>
      <c r="O640" s="7">
        <v>27246</v>
      </c>
      <c r="P640" s="7">
        <v>92636.4</v>
      </c>
      <c r="Q640" s="9">
        <v>16851.48</v>
      </c>
      <c r="R640" s="17">
        <f t="shared" si="9"/>
        <v>0.18190991877922719</v>
      </c>
    </row>
    <row r="641" spans="2:18" x14ac:dyDescent="0.3">
      <c r="B641" s="21" t="s">
        <v>1330</v>
      </c>
      <c r="C641" s="11">
        <v>45394</v>
      </c>
      <c r="D641" s="10" t="s">
        <v>1331</v>
      </c>
      <c r="E641" s="10" t="s">
        <v>55</v>
      </c>
      <c r="F641" s="10" t="s">
        <v>37</v>
      </c>
      <c r="G641" s="10">
        <v>31</v>
      </c>
      <c r="H641" s="10" t="s">
        <v>66</v>
      </c>
      <c r="I641" s="10" t="s">
        <v>21</v>
      </c>
      <c r="J641" s="10" t="s">
        <v>30</v>
      </c>
      <c r="K641" s="10" t="s">
        <v>51</v>
      </c>
      <c r="L641" s="10" t="s">
        <v>47</v>
      </c>
      <c r="M641" s="10" t="s">
        <v>41</v>
      </c>
      <c r="N641" s="10">
        <v>2</v>
      </c>
      <c r="O641" s="10">
        <v>47499</v>
      </c>
      <c r="P641" s="10">
        <v>94998</v>
      </c>
      <c r="Q641" s="12">
        <v>28924.639999999999</v>
      </c>
      <c r="R641" s="17">
        <f t="shared" si="9"/>
        <v>0.30447630476431081</v>
      </c>
    </row>
    <row r="642" spans="2:18" x14ac:dyDescent="0.3">
      <c r="B642" s="20" t="s">
        <v>1332</v>
      </c>
      <c r="C642" s="8">
        <v>45419</v>
      </c>
      <c r="D642" s="7" t="s">
        <v>1333</v>
      </c>
      <c r="E642" s="7" t="s">
        <v>36</v>
      </c>
      <c r="F642" s="7" t="s">
        <v>37</v>
      </c>
      <c r="G642" s="7">
        <v>31</v>
      </c>
      <c r="H642" s="7" t="s">
        <v>20</v>
      </c>
      <c r="I642" s="7" t="s">
        <v>21</v>
      </c>
      <c r="J642" s="7" t="s">
        <v>30</v>
      </c>
      <c r="K642" s="7" t="s">
        <v>40</v>
      </c>
      <c r="L642" s="7" t="s">
        <v>24</v>
      </c>
      <c r="M642" s="7" t="s">
        <v>52</v>
      </c>
      <c r="N642" s="7">
        <v>2</v>
      </c>
      <c r="O642" s="7">
        <v>25590</v>
      </c>
      <c r="P642" s="7">
        <v>46062</v>
      </c>
      <c r="Q642" s="9">
        <v>9795.34</v>
      </c>
      <c r="R642" s="17">
        <f t="shared" si="9"/>
        <v>0.21265555121358171</v>
      </c>
    </row>
    <row r="643" spans="2:18" x14ac:dyDescent="0.3">
      <c r="B643" s="21" t="s">
        <v>1334</v>
      </c>
      <c r="C643" s="11">
        <v>45493</v>
      </c>
      <c r="D643" s="10" t="s">
        <v>1335</v>
      </c>
      <c r="E643" s="10" t="s">
        <v>18</v>
      </c>
      <c r="F643" s="10" t="s">
        <v>37</v>
      </c>
      <c r="G643" s="10">
        <v>41</v>
      </c>
      <c r="H643" s="10" t="s">
        <v>29</v>
      </c>
      <c r="I643" s="10" t="s">
        <v>46</v>
      </c>
      <c r="J643" s="10" t="s">
        <v>22</v>
      </c>
      <c r="K643" s="10" t="s">
        <v>69</v>
      </c>
      <c r="L643" s="10" t="s">
        <v>32</v>
      </c>
      <c r="M643" s="10" t="s">
        <v>33</v>
      </c>
      <c r="N643" s="10">
        <v>4</v>
      </c>
      <c r="O643" s="10">
        <v>23419</v>
      </c>
      <c r="P643" s="10">
        <v>88992.2</v>
      </c>
      <c r="Q643" s="12">
        <v>23289.88</v>
      </c>
      <c r="R643" s="17">
        <f t="shared" si="9"/>
        <v>0.26170698106126156</v>
      </c>
    </row>
    <row r="644" spans="2:18" x14ac:dyDescent="0.3">
      <c r="B644" s="20" t="s">
        <v>1336</v>
      </c>
      <c r="C644" s="8">
        <v>45460</v>
      </c>
      <c r="D644" s="7" t="s">
        <v>1337</v>
      </c>
      <c r="E644" s="7" t="s">
        <v>18</v>
      </c>
      <c r="F644" s="7" t="s">
        <v>19</v>
      </c>
      <c r="G644" s="7">
        <v>47</v>
      </c>
      <c r="H644" s="7" t="s">
        <v>45</v>
      </c>
      <c r="I644" s="7" t="s">
        <v>21</v>
      </c>
      <c r="J644" s="7" t="s">
        <v>30</v>
      </c>
      <c r="K644" s="7" t="s">
        <v>40</v>
      </c>
      <c r="L644" s="7" t="s">
        <v>60</v>
      </c>
      <c r="M644" s="7" t="s">
        <v>41</v>
      </c>
      <c r="N644" s="7">
        <v>5</v>
      </c>
      <c r="O644" s="7">
        <v>33810</v>
      </c>
      <c r="P644" s="7">
        <v>152145</v>
      </c>
      <c r="Q644" s="9">
        <v>58646.05</v>
      </c>
      <c r="R644" s="17">
        <f t="shared" ref="R644:R707" si="10">Q644/P644</f>
        <v>0.38546156626901973</v>
      </c>
    </row>
    <row r="645" spans="2:18" x14ac:dyDescent="0.3">
      <c r="B645" s="21" t="s">
        <v>1338</v>
      </c>
      <c r="C645" s="11">
        <v>45295</v>
      </c>
      <c r="D645" s="10" t="s">
        <v>1339</v>
      </c>
      <c r="E645" s="10" t="s">
        <v>93</v>
      </c>
      <c r="F645" s="10" t="s">
        <v>37</v>
      </c>
      <c r="G645" s="10">
        <v>52</v>
      </c>
      <c r="H645" s="10" t="s">
        <v>45</v>
      </c>
      <c r="I645" s="10" t="s">
        <v>21</v>
      </c>
      <c r="J645" s="10" t="s">
        <v>30</v>
      </c>
      <c r="K645" s="10" t="s">
        <v>31</v>
      </c>
      <c r="L645" s="10" t="s">
        <v>60</v>
      </c>
      <c r="M645" s="10" t="s">
        <v>52</v>
      </c>
      <c r="N645" s="10">
        <v>5</v>
      </c>
      <c r="O645" s="10">
        <v>16004</v>
      </c>
      <c r="P645" s="10">
        <v>76019</v>
      </c>
      <c r="Q645" s="12">
        <v>25702.41</v>
      </c>
      <c r="R645" s="17">
        <f t="shared" si="10"/>
        <v>0.33810507899340952</v>
      </c>
    </row>
    <row r="646" spans="2:18" x14ac:dyDescent="0.3">
      <c r="B646" s="20" t="s">
        <v>1340</v>
      </c>
      <c r="C646" s="8">
        <v>45537</v>
      </c>
      <c r="D646" s="7" t="s">
        <v>1341</v>
      </c>
      <c r="E646" s="7" t="s">
        <v>18</v>
      </c>
      <c r="F646" s="7" t="s">
        <v>19</v>
      </c>
      <c r="G646" s="7">
        <v>55</v>
      </c>
      <c r="H646" s="7" t="s">
        <v>20</v>
      </c>
      <c r="I646" s="7" t="s">
        <v>39</v>
      </c>
      <c r="J646" s="7" t="s">
        <v>50</v>
      </c>
      <c r="K646" s="7" t="s">
        <v>40</v>
      </c>
      <c r="L646" s="7" t="s">
        <v>80</v>
      </c>
      <c r="M646" s="7" t="s">
        <v>25</v>
      </c>
      <c r="N646" s="7">
        <v>4</v>
      </c>
      <c r="O646" s="7">
        <v>33170</v>
      </c>
      <c r="P646" s="7">
        <v>112778</v>
      </c>
      <c r="Q646" s="9">
        <v>25926.16</v>
      </c>
      <c r="R646" s="17">
        <f t="shared" si="10"/>
        <v>0.22988668002624627</v>
      </c>
    </row>
    <row r="647" spans="2:18" x14ac:dyDescent="0.3">
      <c r="B647" s="21" t="s">
        <v>1342</v>
      </c>
      <c r="C647" s="11">
        <v>45554</v>
      </c>
      <c r="D647" s="10" t="s">
        <v>1343</v>
      </c>
      <c r="E647" s="10" t="s">
        <v>36</v>
      </c>
      <c r="F647" s="10" t="s">
        <v>37</v>
      </c>
      <c r="G647" s="10">
        <v>32</v>
      </c>
      <c r="H647" s="10" t="s">
        <v>20</v>
      </c>
      <c r="I647" s="10" t="s">
        <v>46</v>
      </c>
      <c r="J647" s="10" t="s">
        <v>30</v>
      </c>
      <c r="K647" s="10" t="s">
        <v>23</v>
      </c>
      <c r="L647" s="10" t="s">
        <v>80</v>
      </c>
      <c r="M647" s="10" t="s">
        <v>41</v>
      </c>
      <c r="N647" s="10">
        <v>5</v>
      </c>
      <c r="O647" s="10">
        <v>25240</v>
      </c>
      <c r="P647" s="10">
        <v>126200</v>
      </c>
      <c r="Q647" s="12">
        <v>38545.11</v>
      </c>
      <c r="R647" s="17">
        <f t="shared" si="10"/>
        <v>0.30542876386687795</v>
      </c>
    </row>
    <row r="648" spans="2:18" x14ac:dyDescent="0.3">
      <c r="B648" s="20" t="s">
        <v>1344</v>
      </c>
      <c r="C648" s="8">
        <v>45474</v>
      </c>
      <c r="D648" s="7" t="s">
        <v>1345</v>
      </c>
      <c r="E648" s="7" t="s">
        <v>18</v>
      </c>
      <c r="F648" s="7" t="s">
        <v>19</v>
      </c>
      <c r="G648" s="7">
        <v>44</v>
      </c>
      <c r="H648" s="7" t="s">
        <v>38</v>
      </c>
      <c r="I648" s="7" t="s">
        <v>46</v>
      </c>
      <c r="J648" s="7" t="s">
        <v>30</v>
      </c>
      <c r="K648" s="7" t="s">
        <v>23</v>
      </c>
      <c r="L648" s="7" t="s">
        <v>47</v>
      </c>
      <c r="M648" s="7" t="s">
        <v>25</v>
      </c>
      <c r="N648" s="7">
        <v>5</v>
      </c>
      <c r="O648" s="7">
        <v>5781</v>
      </c>
      <c r="P648" s="7">
        <v>28905</v>
      </c>
      <c r="Q648" s="9">
        <v>8981.7999999999993</v>
      </c>
      <c r="R648" s="17">
        <f t="shared" si="10"/>
        <v>0.31073516692613734</v>
      </c>
    </row>
    <row r="649" spans="2:18" x14ac:dyDescent="0.3">
      <c r="B649" s="21" t="s">
        <v>1346</v>
      </c>
      <c r="C649" s="11">
        <v>45486</v>
      </c>
      <c r="D649" s="10" t="s">
        <v>1347</v>
      </c>
      <c r="E649" s="10" t="s">
        <v>65</v>
      </c>
      <c r="F649" s="10" t="s">
        <v>37</v>
      </c>
      <c r="G649" s="10">
        <v>35</v>
      </c>
      <c r="H649" s="10" t="s">
        <v>66</v>
      </c>
      <c r="I649" s="10" t="s">
        <v>39</v>
      </c>
      <c r="J649" s="10" t="s">
        <v>50</v>
      </c>
      <c r="K649" s="10" t="s">
        <v>69</v>
      </c>
      <c r="L649" s="10" t="s">
        <v>80</v>
      </c>
      <c r="M649" s="10" t="s">
        <v>33</v>
      </c>
      <c r="N649" s="10">
        <v>4</v>
      </c>
      <c r="O649" s="10">
        <v>1333</v>
      </c>
      <c r="P649" s="10">
        <v>4798.8</v>
      </c>
      <c r="Q649" s="12">
        <v>1458.9</v>
      </c>
      <c r="R649" s="17">
        <f t="shared" si="10"/>
        <v>0.30401350337584399</v>
      </c>
    </row>
    <row r="650" spans="2:18" x14ac:dyDescent="0.3">
      <c r="B650" s="20" t="s">
        <v>1348</v>
      </c>
      <c r="C650" s="8">
        <v>45553</v>
      </c>
      <c r="D650" s="7" t="s">
        <v>1349</v>
      </c>
      <c r="E650" s="7" t="s">
        <v>76</v>
      </c>
      <c r="F650" s="7" t="s">
        <v>19</v>
      </c>
      <c r="G650" s="7">
        <v>55</v>
      </c>
      <c r="H650" s="7" t="s">
        <v>38</v>
      </c>
      <c r="I650" s="7" t="s">
        <v>46</v>
      </c>
      <c r="J650" s="7" t="s">
        <v>22</v>
      </c>
      <c r="K650" s="7" t="s">
        <v>69</v>
      </c>
      <c r="L650" s="7" t="s">
        <v>47</v>
      </c>
      <c r="M650" s="7" t="s">
        <v>33</v>
      </c>
      <c r="N650" s="7">
        <v>3</v>
      </c>
      <c r="O650" s="7">
        <v>15553</v>
      </c>
      <c r="P650" s="7">
        <v>39660.15</v>
      </c>
      <c r="Q650" s="9">
        <v>12187.19</v>
      </c>
      <c r="R650" s="17">
        <f t="shared" si="10"/>
        <v>0.30729056748398581</v>
      </c>
    </row>
    <row r="651" spans="2:18" x14ac:dyDescent="0.3">
      <c r="B651" s="21" t="s">
        <v>1350</v>
      </c>
      <c r="C651" s="11">
        <v>45483</v>
      </c>
      <c r="D651" s="10" t="s">
        <v>1351</v>
      </c>
      <c r="E651" s="10" t="s">
        <v>36</v>
      </c>
      <c r="F651" s="10" t="s">
        <v>19</v>
      </c>
      <c r="G651" s="10">
        <v>57</v>
      </c>
      <c r="H651" s="10" t="s">
        <v>29</v>
      </c>
      <c r="I651" s="10" t="s">
        <v>21</v>
      </c>
      <c r="J651" s="10" t="s">
        <v>50</v>
      </c>
      <c r="K651" s="10" t="s">
        <v>40</v>
      </c>
      <c r="L651" s="10" t="s">
        <v>80</v>
      </c>
      <c r="M651" s="10" t="s">
        <v>33</v>
      </c>
      <c r="N651" s="10">
        <v>5</v>
      </c>
      <c r="O651" s="10">
        <v>13473</v>
      </c>
      <c r="P651" s="10">
        <v>60628.5</v>
      </c>
      <c r="Q651" s="12">
        <v>23783.439999999999</v>
      </c>
      <c r="R651" s="17">
        <f t="shared" si="10"/>
        <v>0.39228151776804637</v>
      </c>
    </row>
    <row r="652" spans="2:18" x14ac:dyDescent="0.3">
      <c r="B652" s="20" t="s">
        <v>1352</v>
      </c>
      <c r="C652" s="8">
        <v>45364</v>
      </c>
      <c r="D652" s="7" t="s">
        <v>1353</v>
      </c>
      <c r="E652" s="7" t="s">
        <v>59</v>
      </c>
      <c r="F652" s="7" t="s">
        <v>19</v>
      </c>
      <c r="G652" s="7">
        <v>59</v>
      </c>
      <c r="H652" s="7" t="s">
        <v>38</v>
      </c>
      <c r="I652" s="7" t="s">
        <v>46</v>
      </c>
      <c r="J652" s="7" t="s">
        <v>50</v>
      </c>
      <c r="K652" s="7" t="s">
        <v>23</v>
      </c>
      <c r="L652" s="7" t="s">
        <v>24</v>
      </c>
      <c r="M652" s="7" t="s">
        <v>52</v>
      </c>
      <c r="N652" s="7">
        <v>5</v>
      </c>
      <c r="O652" s="7">
        <v>16521</v>
      </c>
      <c r="P652" s="7">
        <v>82605</v>
      </c>
      <c r="Q652" s="9">
        <v>31792.959999999999</v>
      </c>
      <c r="R652" s="17">
        <f t="shared" si="10"/>
        <v>0.38487936565583197</v>
      </c>
    </row>
    <row r="653" spans="2:18" x14ac:dyDescent="0.3">
      <c r="B653" s="21" t="s">
        <v>1354</v>
      </c>
      <c r="C653" s="11">
        <v>45408</v>
      </c>
      <c r="D653" s="10" t="s">
        <v>1355</v>
      </c>
      <c r="E653" s="10" t="s">
        <v>28</v>
      </c>
      <c r="F653" s="10" t="s">
        <v>19</v>
      </c>
      <c r="G653" s="10">
        <v>26</v>
      </c>
      <c r="H653" s="10" t="s">
        <v>20</v>
      </c>
      <c r="I653" s="10" t="s">
        <v>39</v>
      </c>
      <c r="J653" s="10" t="s">
        <v>22</v>
      </c>
      <c r="K653" s="10" t="s">
        <v>31</v>
      </c>
      <c r="L653" s="10" t="s">
        <v>24</v>
      </c>
      <c r="M653" s="10" t="s">
        <v>25</v>
      </c>
      <c r="N653" s="10">
        <v>4</v>
      </c>
      <c r="O653" s="10">
        <v>27175</v>
      </c>
      <c r="P653" s="10">
        <v>97830</v>
      </c>
      <c r="Q653" s="12">
        <v>27654.76</v>
      </c>
      <c r="R653" s="17">
        <f t="shared" si="10"/>
        <v>0.28268179495042417</v>
      </c>
    </row>
    <row r="654" spans="2:18" x14ac:dyDescent="0.3">
      <c r="B654" s="20" t="s">
        <v>1356</v>
      </c>
      <c r="C654" s="8">
        <v>45516</v>
      </c>
      <c r="D654" s="7" t="s">
        <v>1357</v>
      </c>
      <c r="E654" s="7" t="s">
        <v>36</v>
      </c>
      <c r="F654" s="7" t="s">
        <v>37</v>
      </c>
      <c r="G654" s="7">
        <v>21</v>
      </c>
      <c r="H654" s="7" t="s">
        <v>66</v>
      </c>
      <c r="I654" s="7" t="s">
        <v>46</v>
      </c>
      <c r="J654" s="7" t="s">
        <v>50</v>
      </c>
      <c r="K654" s="7" t="s">
        <v>69</v>
      </c>
      <c r="L654" s="7" t="s">
        <v>24</v>
      </c>
      <c r="M654" s="7" t="s">
        <v>52</v>
      </c>
      <c r="N654" s="7">
        <v>2</v>
      </c>
      <c r="O654" s="7">
        <v>47220</v>
      </c>
      <c r="P654" s="7">
        <v>75552</v>
      </c>
      <c r="Q654" s="9">
        <v>20444.05</v>
      </c>
      <c r="R654" s="17">
        <f t="shared" si="10"/>
        <v>0.27059574862346464</v>
      </c>
    </row>
    <row r="655" spans="2:18" x14ac:dyDescent="0.3">
      <c r="B655" s="21" t="s">
        <v>1358</v>
      </c>
      <c r="C655" s="11">
        <v>45534</v>
      </c>
      <c r="D655" s="10" t="s">
        <v>1359</v>
      </c>
      <c r="E655" s="10" t="s">
        <v>44</v>
      </c>
      <c r="F655" s="10" t="s">
        <v>19</v>
      </c>
      <c r="G655" s="10">
        <v>52</v>
      </c>
      <c r="H655" s="10" t="s">
        <v>20</v>
      </c>
      <c r="I655" s="10" t="s">
        <v>46</v>
      </c>
      <c r="J655" s="10" t="s">
        <v>50</v>
      </c>
      <c r="K655" s="10" t="s">
        <v>69</v>
      </c>
      <c r="L655" s="10" t="s">
        <v>24</v>
      </c>
      <c r="M655" s="10" t="s">
        <v>25</v>
      </c>
      <c r="N655" s="10">
        <v>2</v>
      </c>
      <c r="O655" s="10">
        <v>14175</v>
      </c>
      <c r="P655" s="10">
        <v>22680</v>
      </c>
      <c r="Q655" s="12">
        <v>5988.61</v>
      </c>
      <c r="R655" s="17">
        <f t="shared" si="10"/>
        <v>0.26404805996472663</v>
      </c>
    </row>
    <row r="656" spans="2:18" x14ac:dyDescent="0.3">
      <c r="B656" s="20" t="s">
        <v>1360</v>
      </c>
      <c r="C656" s="8">
        <v>45555</v>
      </c>
      <c r="D656" s="7" t="s">
        <v>1361</v>
      </c>
      <c r="E656" s="7" t="s">
        <v>28</v>
      </c>
      <c r="F656" s="7" t="s">
        <v>37</v>
      </c>
      <c r="G656" s="7">
        <v>45</v>
      </c>
      <c r="H656" s="7" t="s">
        <v>29</v>
      </c>
      <c r="I656" s="7" t="s">
        <v>21</v>
      </c>
      <c r="J656" s="7" t="s">
        <v>22</v>
      </c>
      <c r="K656" s="7" t="s">
        <v>40</v>
      </c>
      <c r="L656" s="7" t="s">
        <v>24</v>
      </c>
      <c r="M656" s="7" t="s">
        <v>41</v>
      </c>
      <c r="N656" s="7">
        <v>3</v>
      </c>
      <c r="O656" s="7">
        <v>17430</v>
      </c>
      <c r="P656" s="7">
        <v>52290</v>
      </c>
      <c r="Q656" s="9">
        <v>8631.1</v>
      </c>
      <c r="R656" s="17">
        <f t="shared" si="10"/>
        <v>0.16506215337540639</v>
      </c>
    </row>
    <row r="657" spans="2:18" x14ac:dyDescent="0.3">
      <c r="B657" s="21" t="s">
        <v>1362</v>
      </c>
      <c r="C657" s="11">
        <v>45456</v>
      </c>
      <c r="D657" s="10" t="s">
        <v>1363</v>
      </c>
      <c r="E657" s="10" t="s">
        <v>55</v>
      </c>
      <c r="F657" s="10" t="s">
        <v>37</v>
      </c>
      <c r="G657" s="10">
        <v>56</v>
      </c>
      <c r="H657" s="10" t="s">
        <v>45</v>
      </c>
      <c r="I657" s="10" t="s">
        <v>46</v>
      </c>
      <c r="J657" s="10" t="s">
        <v>22</v>
      </c>
      <c r="K657" s="10" t="s">
        <v>69</v>
      </c>
      <c r="L657" s="10" t="s">
        <v>47</v>
      </c>
      <c r="M657" s="10" t="s">
        <v>41</v>
      </c>
      <c r="N657" s="10">
        <v>1</v>
      </c>
      <c r="O657" s="10">
        <v>9748</v>
      </c>
      <c r="P657" s="10">
        <v>7798.4</v>
      </c>
      <c r="Q657" s="12">
        <v>2739.84</v>
      </c>
      <c r="R657" s="17">
        <f t="shared" si="10"/>
        <v>0.35133360689372184</v>
      </c>
    </row>
    <row r="658" spans="2:18" x14ac:dyDescent="0.3">
      <c r="B658" s="20" t="s">
        <v>1364</v>
      </c>
      <c r="C658" s="8">
        <v>45374</v>
      </c>
      <c r="D658" s="7" t="s">
        <v>1365</v>
      </c>
      <c r="E658" s="7" t="s">
        <v>36</v>
      </c>
      <c r="F658" s="7" t="s">
        <v>37</v>
      </c>
      <c r="G658" s="7">
        <v>56</v>
      </c>
      <c r="H658" s="7" t="s">
        <v>66</v>
      </c>
      <c r="I658" s="7" t="s">
        <v>21</v>
      </c>
      <c r="J658" s="7" t="s">
        <v>50</v>
      </c>
      <c r="K658" s="7" t="s">
        <v>23</v>
      </c>
      <c r="L658" s="7" t="s">
        <v>60</v>
      </c>
      <c r="M658" s="7" t="s">
        <v>33</v>
      </c>
      <c r="N658" s="7">
        <v>4</v>
      </c>
      <c r="O658" s="7">
        <v>28980</v>
      </c>
      <c r="P658" s="7">
        <v>98532</v>
      </c>
      <c r="Q658" s="9">
        <v>25883.759999999998</v>
      </c>
      <c r="R658" s="17">
        <f t="shared" si="10"/>
        <v>0.26269394714407501</v>
      </c>
    </row>
    <row r="659" spans="2:18" x14ac:dyDescent="0.3">
      <c r="B659" s="21" t="s">
        <v>1366</v>
      </c>
      <c r="C659" s="11">
        <v>45616</v>
      </c>
      <c r="D659" s="10" t="s">
        <v>1367</v>
      </c>
      <c r="E659" s="10" t="s">
        <v>76</v>
      </c>
      <c r="F659" s="10" t="s">
        <v>19</v>
      </c>
      <c r="G659" s="10">
        <v>46</v>
      </c>
      <c r="H659" s="10" t="s">
        <v>56</v>
      </c>
      <c r="I659" s="10" t="s">
        <v>21</v>
      </c>
      <c r="J659" s="10" t="s">
        <v>30</v>
      </c>
      <c r="K659" s="10" t="s">
        <v>69</v>
      </c>
      <c r="L659" s="10" t="s">
        <v>32</v>
      </c>
      <c r="M659" s="10" t="s">
        <v>41</v>
      </c>
      <c r="N659" s="10">
        <v>4</v>
      </c>
      <c r="O659" s="10">
        <v>40008</v>
      </c>
      <c r="P659" s="10">
        <v>152030.39999999999</v>
      </c>
      <c r="Q659" s="12">
        <v>41192.980000000003</v>
      </c>
      <c r="R659" s="17">
        <f t="shared" si="10"/>
        <v>0.27095225691703767</v>
      </c>
    </row>
    <row r="660" spans="2:18" x14ac:dyDescent="0.3">
      <c r="B660" s="20" t="s">
        <v>1368</v>
      </c>
      <c r="C660" s="8">
        <v>45352</v>
      </c>
      <c r="D660" s="7" t="s">
        <v>1369</v>
      </c>
      <c r="E660" s="7" t="s">
        <v>93</v>
      </c>
      <c r="F660" s="7" t="s">
        <v>37</v>
      </c>
      <c r="G660" s="7">
        <v>29</v>
      </c>
      <c r="H660" s="7" t="s">
        <v>29</v>
      </c>
      <c r="I660" s="7" t="s">
        <v>21</v>
      </c>
      <c r="J660" s="7" t="s">
        <v>50</v>
      </c>
      <c r="K660" s="7" t="s">
        <v>23</v>
      </c>
      <c r="L660" s="7" t="s">
        <v>32</v>
      </c>
      <c r="M660" s="7" t="s">
        <v>41</v>
      </c>
      <c r="N660" s="7">
        <v>4</v>
      </c>
      <c r="O660" s="7">
        <v>40917</v>
      </c>
      <c r="P660" s="7">
        <v>163668</v>
      </c>
      <c r="Q660" s="9">
        <v>43310.07</v>
      </c>
      <c r="R660" s="17">
        <f t="shared" si="10"/>
        <v>0.2646214898452966</v>
      </c>
    </row>
    <row r="661" spans="2:18" x14ac:dyDescent="0.3">
      <c r="B661" s="21" t="s">
        <v>1370</v>
      </c>
      <c r="C661" s="11">
        <v>45472</v>
      </c>
      <c r="D661" s="10" t="s">
        <v>1371</v>
      </c>
      <c r="E661" s="10" t="s">
        <v>18</v>
      </c>
      <c r="F661" s="10" t="s">
        <v>19</v>
      </c>
      <c r="G661" s="10">
        <v>37</v>
      </c>
      <c r="H661" s="10" t="s">
        <v>20</v>
      </c>
      <c r="I661" s="10" t="s">
        <v>21</v>
      </c>
      <c r="J661" s="10" t="s">
        <v>50</v>
      </c>
      <c r="K661" s="10" t="s">
        <v>51</v>
      </c>
      <c r="L661" s="10" t="s">
        <v>80</v>
      </c>
      <c r="M661" s="10" t="s">
        <v>52</v>
      </c>
      <c r="N661" s="10">
        <v>5</v>
      </c>
      <c r="O661" s="10">
        <v>28917</v>
      </c>
      <c r="P661" s="10">
        <v>137355.75</v>
      </c>
      <c r="Q661" s="12">
        <v>32489.200000000001</v>
      </c>
      <c r="R661" s="17">
        <f t="shared" si="10"/>
        <v>0.23653323577644184</v>
      </c>
    </row>
    <row r="662" spans="2:18" x14ac:dyDescent="0.3">
      <c r="B662" s="20" t="s">
        <v>1372</v>
      </c>
      <c r="C662" s="8">
        <v>45344</v>
      </c>
      <c r="D662" s="7" t="s">
        <v>1373</v>
      </c>
      <c r="E662" s="7" t="s">
        <v>93</v>
      </c>
      <c r="F662" s="7" t="s">
        <v>37</v>
      </c>
      <c r="G662" s="7">
        <v>20</v>
      </c>
      <c r="H662" s="7" t="s">
        <v>20</v>
      </c>
      <c r="I662" s="7" t="s">
        <v>21</v>
      </c>
      <c r="J662" s="7" t="s">
        <v>30</v>
      </c>
      <c r="K662" s="7" t="s">
        <v>23</v>
      </c>
      <c r="L662" s="7" t="s">
        <v>60</v>
      </c>
      <c r="M662" s="7" t="s">
        <v>52</v>
      </c>
      <c r="N662" s="7">
        <v>4</v>
      </c>
      <c r="O662" s="7">
        <v>15786</v>
      </c>
      <c r="P662" s="7">
        <v>63144</v>
      </c>
      <c r="Q662" s="9">
        <v>18224.439999999999</v>
      </c>
      <c r="R662" s="17">
        <f t="shared" si="10"/>
        <v>0.2886171291017357</v>
      </c>
    </row>
    <row r="663" spans="2:18" x14ac:dyDescent="0.3">
      <c r="B663" s="21" t="s">
        <v>1374</v>
      </c>
      <c r="C663" s="11">
        <v>45652</v>
      </c>
      <c r="D663" s="10" t="s">
        <v>1375</v>
      </c>
      <c r="E663" s="10" t="s">
        <v>59</v>
      </c>
      <c r="F663" s="10" t="s">
        <v>19</v>
      </c>
      <c r="G663" s="10">
        <v>28</v>
      </c>
      <c r="H663" s="10" t="s">
        <v>29</v>
      </c>
      <c r="I663" s="10" t="s">
        <v>46</v>
      </c>
      <c r="J663" s="10" t="s">
        <v>50</v>
      </c>
      <c r="K663" s="10" t="s">
        <v>40</v>
      </c>
      <c r="L663" s="10" t="s">
        <v>24</v>
      </c>
      <c r="M663" s="10" t="s">
        <v>41</v>
      </c>
      <c r="N663" s="10">
        <v>1</v>
      </c>
      <c r="O663" s="10">
        <v>18212</v>
      </c>
      <c r="P663" s="10">
        <v>14569.6</v>
      </c>
      <c r="Q663" s="12">
        <v>3459.2</v>
      </c>
      <c r="R663" s="17">
        <f t="shared" si="10"/>
        <v>0.23742587305073576</v>
      </c>
    </row>
    <row r="664" spans="2:18" x14ac:dyDescent="0.3">
      <c r="B664" s="20" t="s">
        <v>1376</v>
      </c>
      <c r="C664" s="8">
        <v>45447</v>
      </c>
      <c r="D664" s="7" t="s">
        <v>1377</v>
      </c>
      <c r="E664" s="7" t="s">
        <v>44</v>
      </c>
      <c r="F664" s="7" t="s">
        <v>37</v>
      </c>
      <c r="G664" s="7">
        <v>52</v>
      </c>
      <c r="H664" s="7" t="s">
        <v>38</v>
      </c>
      <c r="I664" s="7" t="s">
        <v>39</v>
      </c>
      <c r="J664" s="7" t="s">
        <v>22</v>
      </c>
      <c r="K664" s="7" t="s">
        <v>31</v>
      </c>
      <c r="L664" s="7" t="s">
        <v>24</v>
      </c>
      <c r="M664" s="7" t="s">
        <v>33</v>
      </c>
      <c r="N664" s="7">
        <v>1</v>
      </c>
      <c r="O664" s="7">
        <v>8515</v>
      </c>
      <c r="P664" s="7">
        <v>6812</v>
      </c>
      <c r="Q664" s="9">
        <v>2541.75</v>
      </c>
      <c r="R664" s="17">
        <f t="shared" si="10"/>
        <v>0.37312830299471522</v>
      </c>
    </row>
    <row r="665" spans="2:18" x14ac:dyDescent="0.3">
      <c r="B665" s="21" t="s">
        <v>1378</v>
      </c>
      <c r="C665" s="11">
        <v>45552</v>
      </c>
      <c r="D665" s="10" t="s">
        <v>1379</v>
      </c>
      <c r="E665" s="10" t="s">
        <v>18</v>
      </c>
      <c r="F665" s="10" t="s">
        <v>19</v>
      </c>
      <c r="G665" s="10">
        <v>44</v>
      </c>
      <c r="H665" s="10" t="s">
        <v>45</v>
      </c>
      <c r="I665" s="10" t="s">
        <v>46</v>
      </c>
      <c r="J665" s="10" t="s">
        <v>30</v>
      </c>
      <c r="K665" s="10" t="s">
        <v>51</v>
      </c>
      <c r="L665" s="10" t="s">
        <v>60</v>
      </c>
      <c r="M665" s="10" t="s">
        <v>25</v>
      </c>
      <c r="N665" s="10">
        <v>4</v>
      </c>
      <c r="O665" s="10">
        <v>46111</v>
      </c>
      <c r="P665" s="10">
        <v>147555.20000000001</v>
      </c>
      <c r="Q665" s="12">
        <v>54205.84</v>
      </c>
      <c r="R665" s="17">
        <f t="shared" si="10"/>
        <v>0.36735974062588095</v>
      </c>
    </row>
    <row r="666" spans="2:18" x14ac:dyDescent="0.3">
      <c r="B666" s="20" t="s">
        <v>1380</v>
      </c>
      <c r="C666" s="8">
        <v>45608</v>
      </c>
      <c r="D666" s="7" t="s">
        <v>1381</v>
      </c>
      <c r="E666" s="7" t="s">
        <v>93</v>
      </c>
      <c r="F666" s="7" t="s">
        <v>37</v>
      </c>
      <c r="G666" s="7">
        <v>34</v>
      </c>
      <c r="H666" s="7" t="s">
        <v>45</v>
      </c>
      <c r="I666" s="7" t="s">
        <v>46</v>
      </c>
      <c r="J666" s="7" t="s">
        <v>22</v>
      </c>
      <c r="K666" s="7" t="s">
        <v>40</v>
      </c>
      <c r="L666" s="7" t="s">
        <v>47</v>
      </c>
      <c r="M666" s="7" t="s">
        <v>41</v>
      </c>
      <c r="N666" s="7">
        <v>1</v>
      </c>
      <c r="O666" s="7">
        <v>19906</v>
      </c>
      <c r="P666" s="7">
        <v>15924.8</v>
      </c>
      <c r="Q666" s="9">
        <v>4907.24</v>
      </c>
      <c r="R666" s="17">
        <f t="shared" si="10"/>
        <v>0.30815080880136642</v>
      </c>
    </row>
    <row r="667" spans="2:18" x14ac:dyDescent="0.3">
      <c r="B667" s="21" t="s">
        <v>1382</v>
      </c>
      <c r="C667" s="11">
        <v>45446</v>
      </c>
      <c r="D667" s="10" t="s">
        <v>1383</v>
      </c>
      <c r="E667" s="10" t="s">
        <v>59</v>
      </c>
      <c r="F667" s="10" t="s">
        <v>37</v>
      </c>
      <c r="G667" s="10">
        <v>22</v>
      </c>
      <c r="H667" s="10" t="s">
        <v>20</v>
      </c>
      <c r="I667" s="10" t="s">
        <v>39</v>
      </c>
      <c r="J667" s="10" t="s">
        <v>22</v>
      </c>
      <c r="K667" s="10" t="s">
        <v>40</v>
      </c>
      <c r="L667" s="10" t="s">
        <v>32</v>
      </c>
      <c r="M667" s="10" t="s">
        <v>25</v>
      </c>
      <c r="N667" s="10">
        <v>1</v>
      </c>
      <c r="O667" s="10">
        <v>18828</v>
      </c>
      <c r="P667" s="10">
        <v>16945.2</v>
      </c>
      <c r="Q667" s="12">
        <v>5397.35</v>
      </c>
      <c r="R667" s="17">
        <f t="shared" si="10"/>
        <v>0.31851792838089843</v>
      </c>
    </row>
    <row r="668" spans="2:18" x14ac:dyDescent="0.3">
      <c r="B668" s="20" t="s">
        <v>1384</v>
      </c>
      <c r="C668" s="8">
        <v>45459</v>
      </c>
      <c r="D668" s="7" t="s">
        <v>1385</v>
      </c>
      <c r="E668" s="7" t="s">
        <v>65</v>
      </c>
      <c r="F668" s="7" t="s">
        <v>37</v>
      </c>
      <c r="G668" s="7">
        <v>58</v>
      </c>
      <c r="H668" s="7" t="s">
        <v>29</v>
      </c>
      <c r="I668" s="7" t="s">
        <v>39</v>
      </c>
      <c r="J668" s="7" t="s">
        <v>50</v>
      </c>
      <c r="K668" s="7" t="s">
        <v>31</v>
      </c>
      <c r="L668" s="7" t="s">
        <v>32</v>
      </c>
      <c r="M668" s="7" t="s">
        <v>41</v>
      </c>
      <c r="N668" s="7">
        <v>5</v>
      </c>
      <c r="O668" s="7">
        <v>22243</v>
      </c>
      <c r="P668" s="7">
        <v>100093.5</v>
      </c>
      <c r="Q668" s="9">
        <v>31222.27</v>
      </c>
      <c r="R668" s="17">
        <f t="shared" si="10"/>
        <v>0.31193104447341735</v>
      </c>
    </row>
    <row r="669" spans="2:18" x14ac:dyDescent="0.3">
      <c r="B669" s="21" t="s">
        <v>1386</v>
      </c>
      <c r="C669" s="11">
        <v>45437</v>
      </c>
      <c r="D669" s="10" t="s">
        <v>1387</v>
      </c>
      <c r="E669" s="10" t="s">
        <v>55</v>
      </c>
      <c r="F669" s="10" t="s">
        <v>37</v>
      </c>
      <c r="G669" s="10">
        <v>53</v>
      </c>
      <c r="H669" s="10" t="s">
        <v>56</v>
      </c>
      <c r="I669" s="10" t="s">
        <v>21</v>
      </c>
      <c r="J669" s="10" t="s">
        <v>22</v>
      </c>
      <c r="K669" s="10" t="s">
        <v>69</v>
      </c>
      <c r="L669" s="10" t="s">
        <v>47</v>
      </c>
      <c r="M669" s="10" t="s">
        <v>52</v>
      </c>
      <c r="N669" s="10">
        <v>1</v>
      </c>
      <c r="O669" s="10">
        <v>3580</v>
      </c>
      <c r="P669" s="10">
        <v>3580</v>
      </c>
      <c r="Q669" s="12">
        <v>663.58</v>
      </c>
      <c r="R669" s="17">
        <f t="shared" si="10"/>
        <v>0.18535754189944134</v>
      </c>
    </row>
    <row r="670" spans="2:18" x14ac:dyDescent="0.3">
      <c r="B670" s="20" t="s">
        <v>1388</v>
      </c>
      <c r="C670" s="8">
        <v>45455</v>
      </c>
      <c r="D670" s="7" t="s">
        <v>1389</v>
      </c>
      <c r="E670" s="7" t="s">
        <v>65</v>
      </c>
      <c r="F670" s="7" t="s">
        <v>37</v>
      </c>
      <c r="G670" s="7">
        <v>58</v>
      </c>
      <c r="H670" s="7" t="s">
        <v>20</v>
      </c>
      <c r="I670" s="7" t="s">
        <v>46</v>
      </c>
      <c r="J670" s="7" t="s">
        <v>22</v>
      </c>
      <c r="K670" s="7" t="s">
        <v>51</v>
      </c>
      <c r="L670" s="7" t="s">
        <v>80</v>
      </c>
      <c r="M670" s="7" t="s">
        <v>41</v>
      </c>
      <c r="N670" s="7">
        <v>4</v>
      </c>
      <c r="O670" s="7">
        <v>39258</v>
      </c>
      <c r="P670" s="7">
        <v>125625.60000000001</v>
      </c>
      <c r="Q670" s="9">
        <v>33004.910000000003</v>
      </c>
      <c r="R670" s="17">
        <f t="shared" si="10"/>
        <v>0.26272439693820371</v>
      </c>
    </row>
    <row r="671" spans="2:18" x14ac:dyDescent="0.3">
      <c r="B671" s="21" t="s">
        <v>1390</v>
      </c>
      <c r="C671" s="11">
        <v>45607</v>
      </c>
      <c r="D671" s="10" t="s">
        <v>1391</v>
      </c>
      <c r="E671" s="10" t="s">
        <v>55</v>
      </c>
      <c r="F671" s="10" t="s">
        <v>19</v>
      </c>
      <c r="G671" s="10">
        <v>53</v>
      </c>
      <c r="H671" s="10" t="s">
        <v>20</v>
      </c>
      <c r="I671" s="10" t="s">
        <v>21</v>
      </c>
      <c r="J671" s="10" t="s">
        <v>30</v>
      </c>
      <c r="K671" s="10" t="s">
        <v>69</v>
      </c>
      <c r="L671" s="10" t="s">
        <v>32</v>
      </c>
      <c r="M671" s="10" t="s">
        <v>52</v>
      </c>
      <c r="N671" s="10">
        <v>1</v>
      </c>
      <c r="O671" s="10">
        <v>19086</v>
      </c>
      <c r="P671" s="10">
        <v>16223.1</v>
      </c>
      <c r="Q671" s="12">
        <v>3471.64</v>
      </c>
      <c r="R671" s="17">
        <f t="shared" si="10"/>
        <v>0.21399362637227162</v>
      </c>
    </row>
    <row r="672" spans="2:18" x14ac:dyDescent="0.3">
      <c r="B672" s="20" t="s">
        <v>1392</v>
      </c>
      <c r="C672" s="8">
        <v>45566</v>
      </c>
      <c r="D672" s="7" t="s">
        <v>1393</v>
      </c>
      <c r="E672" s="7" t="s">
        <v>93</v>
      </c>
      <c r="F672" s="7" t="s">
        <v>37</v>
      </c>
      <c r="G672" s="7">
        <v>37</v>
      </c>
      <c r="H672" s="7" t="s">
        <v>45</v>
      </c>
      <c r="I672" s="7" t="s">
        <v>21</v>
      </c>
      <c r="J672" s="7" t="s">
        <v>30</v>
      </c>
      <c r="K672" s="7" t="s">
        <v>69</v>
      </c>
      <c r="L672" s="7" t="s">
        <v>32</v>
      </c>
      <c r="M672" s="7" t="s">
        <v>41</v>
      </c>
      <c r="N672" s="7">
        <v>5</v>
      </c>
      <c r="O672" s="7">
        <v>48182</v>
      </c>
      <c r="P672" s="7">
        <v>228864.5</v>
      </c>
      <c r="Q672" s="9">
        <v>74871.289999999994</v>
      </c>
      <c r="R672" s="17">
        <f t="shared" si="10"/>
        <v>0.32714243580808727</v>
      </c>
    </row>
    <row r="673" spans="2:18" x14ac:dyDescent="0.3">
      <c r="B673" s="21" t="s">
        <v>1394</v>
      </c>
      <c r="C673" s="11">
        <v>45454</v>
      </c>
      <c r="D673" s="10" t="s">
        <v>1395</v>
      </c>
      <c r="E673" s="10" t="s">
        <v>59</v>
      </c>
      <c r="F673" s="10" t="s">
        <v>37</v>
      </c>
      <c r="G673" s="10">
        <v>57</v>
      </c>
      <c r="H673" s="10" t="s">
        <v>56</v>
      </c>
      <c r="I673" s="10" t="s">
        <v>21</v>
      </c>
      <c r="J673" s="10" t="s">
        <v>22</v>
      </c>
      <c r="K673" s="10" t="s">
        <v>31</v>
      </c>
      <c r="L673" s="10" t="s">
        <v>24</v>
      </c>
      <c r="M673" s="10" t="s">
        <v>41</v>
      </c>
      <c r="N673" s="10">
        <v>5</v>
      </c>
      <c r="O673" s="10">
        <v>10026</v>
      </c>
      <c r="P673" s="10">
        <v>47623.5</v>
      </c>
      <c r="Q673" s="12">
        <v>12251.68</v>
      </c>
      <c r="R673" s="17">
        <f t="shared" si="10"/>
        <v>0.25726122607536195</v>
      </c>
    </row>
    <row r="674" spans="2:18" x14ac:dyDescent="0.3">
      <c r="B674" s="20" t="s">
        <v>1396</v>
      </c>
      <c r="C674" s="8">
        <v>45365</v>
      </c>
      <c r="D674" s="7" t="s">
        <v>1397</v>
      </c>
      <c r="E674" s="7" t="s">
        <v>18</v>
      </c>
      <c r="F674" s="7" t="s">
        <v>37</v>
      </c>
      <c r="G674" s="7">
        <v>49</v>
      </c>
      <c r="H674" s="7" t="s">
        <v>66</v>
      </c>
      <c r="I674" s="7" t="s">
        <v>21</v>
      </c>
      <c r="J674" s="7" t="s">
        <v>30</v>
      </c>
      <c r="K674" s="7" t="s">
        <v>69</v>
      </c>
      <c r="L674" s="7" t="s">
        <v>32</v>
      </c>
      <c r="M674" s="7" t="s">
        <v>33</v>
      </c>
      <c r="N674" s="7">
        <v>3</v>
      </c>
      <c r="O674" s="7">
        <v>46132</v>
      </c>
      <c r="P674" s="7">
        <v>110716.8</v>
      </c>
      <c r="Q674" s="9">
        <v>34265.32</v>
      </c>
      <c r="R674" s="17">
        <f t="shared" si="10"/>
        <v>0.30948618457180843</v>
      </c>
    </row>
    <row r="675" spans="2:18" x14ac:dyDescent="0.3">
      <c r="B675" s="21" t="s">
        <v>1398</v>
      </c>
      <c r="C675" s="11">
        <v>45557</v>
      </c>
      <c r="D675" s="10" t="s">
        <v>1399</v>
      </c>
      <c r="E675" s="10" t="s">
        <v>36</v>
      </c>
      <c r="F675" s="10" t="s">
        <v>37</v>
      </c>
      <c r="G675" s="10">
        <v>47</v>
      </c>
      <c r="H675" s="10" t="s">
        <v>38</v>
      </c>
      <c r="I675" s="10" t="s">
        <v>21</v>
      </c>
      <c r="J675" s="10" t="s">
        <v>50</v>
      </c>
      <c r="K675" s="10" t="s">
        <v>23</v>
      </c>
      <c r="L675" s="10" t="s">
        <v>32</v>
      </c>
      <c r="M675" s="10" t="s">
        <v>41</v>
      </c>
      <c r="N675" s="10">
        <v>5</v>
      </c>
      <c r="O675" s="10">
        <v>3838</v>
      </c>
      <c r="P675" s="10">
        <v>18230.5</v>
      </c>
      <c r="Q675" s="12">
        <v>3728.47</v>
      </c>
      <c r="R675" s="17">
        <f t="shared" si="10"/>
        <v>0.20451825237925453</v>
      </c>
    </row>
    <row r="676" spans="2:18" x14ac:dyDescent="0.3">
      <c r="B676" s="20" t="s">
        <v>1400</v>
      </c>
      <c r="C676" s="8">
        <v>45479</v>
      </c>
      <c r="D676" s="7" t="s">
        <v>1401</v>
      </c>
      <c r="E676" s="7" t="s">
        <v>28</v>
      </c>
      <c r="F676" s="7" t="s">
        <v>37</v>
      </c>
      <c r="G676" s="7">
        <v>41</v>
      </c>
      <c r="H676" s="7" t="s">
        <v>56</v>
      </c>
      <c r="I676" s="7" t="s">
        <v>46</v>
      </c>
      <c r="J676" s="7" t="s">
        <v>50</v>
      </c>
      <c r="K676" s="7" t="s">
        <v>69</v>
      </c>
      <c r="L676" s="7" t="s">
        <v>60</v>
      </c>
      <c r="M676" s="7" t="s">
        <v>25</v>
      </c>
      <c r="N676" s="7">
        <v>1</v>
      </c>
      <c r="O676" s="7">
        <v>16375</v>
      </c>
      <c r="P676" s="7">
        <v>15556.25</v>
      </c>
      <c r="Q676" s="9">
        <v>6221.41</v>
      </c>
      <c r="R676" s="17">
        <f t="shared" si="10"/>
        <v>0.39992993169947771</v>
      </c>
    </row>
    <row r="677" spans="2:18" x14ac:dyDescent="0.3">
      <c r="B677" s="21" t="s">
        <v>1402</v>
      </c>
      <c r="C677" s="11">
        <v>45622</v>
      </c>
      <c r="D677" s="10" t="s">
        <v>1403</v>
      </c>
      <c r="E677" s="10" t="s">
        <v>65</v>
      </c>
      <c r="F677" s="10" t="s">
        <v>37</v>
      </c>
      <c r="G677" s="10">
        <v>40</v>
      </c>
      <c r="H677" s="10" t="s">
        <v>29</v>
      </c>
      <c r="I677" s="10" t="s">
        <v>21</v>
      </c>
      <c r="J677" s="10" t="s">
        <v>22</v>
      </c>
      <c r="K677" s="10" t="s">
        <v>51</v>
      </c>
      <c r="L677" s="10" t="s">
        <v>60</v>
      </c>
      <c r="M677" s="10" t="s">
        <v>25</v>
      </c>
      <c r="N677" s="10">
        <v>4</v>
      </c>
      <c r="O677" s="10">
        <v>1721</v>
      </c>
      <c r="P677" s="10">
        <v>6195.6</v>
      </c>
      <c r="Q677" s="12">
        <v>1142.0899999999999</v>
      </c>
      <c r="R677" s="17">
        <f t="shared" si="10"/>
        <v>0.18433888566079151</v>
      </c>
    </row>
    <row r="678" spans="2:18" x14ac:dyDescent="0.3">
      <c r="B678" s="20" t="s">
        <v>1404</v>
      </c>
      <c r="C678" s="8">
        <v>45394</v>
      </c>
      <c r="D678" s="7" t="s">
        <v>1405</v>
      </c>
      <c r="E678" s="7" t="s">
        <v>59</v>
      </c>
      <c r="F678" s="7" t="s">
        <v>19</v>
      </c>
      <c r="G678" s="7">
        <v>39</v>
      </c>
      <c r="H678" s="7" t="s">
        <v>38</v>
      </c>
      <c r="I678" s="7" t="s">
        <v>21</v>
      </c>
      <c r="J678" s="7" t="s">
        <v>30</v>
      </c>
      <c r="K678" s="7" t="s">
        <v>40</v>
      </c>
      <c r="L678" s="7" t="s">
        <v>47</v>
      </c>
      <c r="M678" s="7" t="s">
        <v>33</v>
      </c>
      <c r="N678" s="7">
        <v>5</v>
      </c>
      <c r="O678" s="7">
        <v>43250</v>
      </c>
      <c r="P678" s="7">
        <v>216250</v>
      </c>
      <c r="Q678" s="9">
        <v>66176.58</v>
      </c>
      <c r="R678" s="17">
        <f t="shared" si="10"/>
        <v>0.30601886705202314</v>
      </c>
    </row>
    <row r="679" spans="2:18" x14ac:dyDescent="0.3">
      <c r="B679" s="21" t="s">
        <v>1406</v>
      </c>
      <c r="C679" s="11">
        <v>45550</v>
      </c>
      <c r="D679" s="10" t="s">
        <v>1407</v>
      </c>
      <c r="E679" s="10" t="s">
        <v>76</v>
      </c>
      <c r="F679" s="10" t="s">
        <v>37</v>
      </c>
      <c r="G679" s="10">
        <v>21</v>
      </c>
      <c r="H679" s="10" t="s">
        <v>38</v>
      </c>
      <c r="I679" s="10" t="s">
        <v>21</v>
      </c>
      <c r="J679" s="10" t="s">
        <v>30</v>
      </c>
      <c r="K679" s="10" t="s">
        <v>40</v>
      </c>
      <c r="L679" s="10" t="s">
        <v>24</v>
      </c>
      <c r="M679" s="10" t="s">
        <v>52</v>
      </c>
      <c r="N679" s="10">
        <v>5</v>
      </c>
      <c r="O679" s="10">
        <v>15265</v>
      </c>
      <c r="P679" s="10">
        <v>68692.5</v>
      </c>
      <c r="Q679" s="12">
        <v>23358.57</v>
      </c>
      <c r="R679" s="17">
        <f t="shared" si="10"/>
        <v>0.34004541980565561</v>
      </c>
    </row>
    <row r="680" spans="2:18" x14ac:dyDescent="0.3">
      <c r="B680" s="20" t="s">
        <v>1408</v>
      </c>
      <c r="C680" s="8">
        <v>45502</v>
      </c>
      <c r="D680" s="7" t="s">
        <v>1409</v>
      </c>
      <c r="E680" s="7" t="s">
        <v>28</v>
      </c>
      <c r="F680" s="7" t="s">
        <v>37</v>
      </c>
      <c r="G680" s="7">
        <v>28</v>
      </c>
      <c r="H680" s="7" t="s">
        <v>20</v>
      </c>
      <c r="I680" s="7" t="s">
        <v>39</v>
      </c>
      <c r="J680" s="7" t="s">
        <v>30</v>
      </c>
      <c r="K680" s="7" t="s">
        <v>69</v>
      </c>
      <c r="L680" s="7" t="s">
        <v>32</v>
      </c>
      <c r="M680" s="7" t="s">
        <v>41</v>
      </c>
      <c r="N680" s="7">
        <v>3</v>
      </c>
      <c r="O680" s="7">
        <v>35202</v>
      </c>
      <c r="P680" s="7">
        <v>100325.7</v>
      </c>
      <c r="Q680" s="9">
        <v>16336.96</v>
      </c>
      <c r="R680" s="17">
        <f t="shared" si="10"/>
        <v>0.16283923261935873</v>
      </c>
    </row>
    <row r="681" spans="2:18" x14ac:dyDescent="0.3">
      <c r="B681" s="21" t="s">
        <v>1410</v>
      </c>
      <c r="C681" s="11">
        <v>45561</v>
      </c>
      <c r="D681" s="10" t="s">
        <v>1411</v>
      </c>
      <c r="E681" s="10" t="s">
        <v>93</v>
      </c>
      <c r="F681" s="10" t="s">
        <v>19</v>
      </c>
      <c r="G681" s="10">
        <v>38</v>
      </c>
      <c r="H681" s="10" t="s">
        <v>29</v>
      </c>
      <c r="I681" s="10" t="s">
        <v>21</v>
      </c>
      <c r="J681" s="10" t="s">
        <v>50</v>
      </c>
      <c r="K681" s="10" t="s">
        <v>23</v>
      </c>
      <c r="L681" s="10" t="s">
        <v>80</v>
      </c>
      <c r="M681" s="10" t="s">
        <v>25</v>
      </c>
      <c r="N681" s="10">
        <v>2</v>
      </c>
      <c r="O681" s="10">
        <v>11523</v>
      </c>
      <c r="P681" s="10">
        <v>20741.400000000001</v>
      </c>
      <c r="Q681" s="12">
        <v>7606.65</v>
      </c>
      <c r="R681" s="17">
        <f t="shared" si="10"/>
        <v>0.36673753941392573</v>
      </c>
    </row>
    <row r="682" spans="2:18" x14ac:dyDescent="0.3">
      <c r="B682" s="20" t="s">
        <v>1412</v>
      </c>
      <c r="C682" s="8">
        <v>45310</v>
      </c>
      <c r="D682" s="7" t="s">
        <v>1413</v>
      </c>
      <c r="E682" s="7" t="s">
        <v>44</v>
      </c>
      <c r="F682" s="7" t="s">
        <v>37</v>
      </c>
      <c r="G682" s="7">
        <v>58</v>
      </c>
      <c r="H682" s="7" t="s">
        <v>56</v>
      </c>
      <c r="I682" s="7" t="s">
        <v>46</v>
      </c>
      <c r="J682" s="7" t="s">
        <v>30</v>
      </c>
      <c r="K682" s="7" t="s">
        <v>31</v>
      </c>
      <c r="L682" s="7" t="s">
        <v>24</v>
      </c>
      <c r="M682" s="7" t="s">
        <v>41</v>
      </c>
      <c r="N682" s="7">
        <v>3</v>
      </c>
      <c r="O682" s="7">
        <v>7212</v>
      </c>
      <c r="P682" s="7">
        <v>19472.400000000001</v>
      </c>
      <c r="Q682" s="9">
        <v>3499.93</v>
      </c>
      <c r="R682" s="17">
        <f t="shared" si="10"/>
        <v>0.17973798812678454</v>
      </c>
    </row>
    <row r="683" spans="2:18" x14ac:dyDescent="0.3">
      <c r="B683" s="21" t="s">
        <v>1414</v>
      </c>
      <c r="C683" s="11">
        <v>45624</v>
      </c>
      <c r="D683" s="10" t="s">
        <v>1415</v>
      </c>
      <c r="E683" s="10" t="s">
        <v>65</v>
      </c>
      <c r="F683" s="10" t="s">
        <v>37</v>
      </c>
      <c r="G683" s="10">
        <v>39</v>
      </c>
      <c r="H683" s="10" t="s">
        <v>38</v>
      </c>
      <c r="I683" s="10" t="s">
        <v>39</v>
      </c>
      <c r="J683" s="10" t="s">
        <v>50</v>
      </c>
      <c r="K683" s="10" t="s">
        <v>69</v>
      </c>
      <c r="L683" s="10" t="s">
        <v>47</v>
      </c>
      <c r="M683" s="10" t="s">
        <v>52</v>
      </c>
      <c r="N683" s="10">
        <v>5</v>
      </c>
      <c r="O683" s="10">
        <v>3764</v>
      </c>
      <c r="P683" s="10">
        <v>15997</v>
      </c>
      <c r="Q683" s="12">
        <v>2484.9299999999998</v>
      </c>
      <c r="R683" s="17">
        <f t="shared" si="10"/>
        <v>0.15533725073451271</v>
      </c>
    </row>
    <row r="684" spans="2:18" x14ac:dyDescent="0.3">
      <c r="B684" s="20" t="s">
        <v>1416</v>
      </c>
      <c r="C684" s="8">
        <v>45427</v>
      </c>
      <c r="D684" s="7" t="s">
        <v>1417</v>
      </c>
      <c r="E684" s="7" t="s">
        <v>59</v>
      </c>
      <c r="F684" s="7" t="s">
        <v>37</v>
      </c>
      <c r="G684" s="7">
        <v>57</v>
      </c>
      <c r="H684" s="7" t="s">
        <v>38</v>
      </c>
      <c r="I684" s="7" t="s">
        <v>46</v>
      </c>
      <c r="J684" s="7" t="s">
        <v>22</v>
      </c>
      <c r="K684" s="7" t="s">
        <v>51</v>
      </c>
      <c r="L684" s="7" t="s">
        <v>32</v>
      </c>
      <c r="M684" s="7" t="s">
        <v>41</v>
      </c>
      <c r="N684" s="7">
        <v>3</v>
      </c>
      <c r="O684" s="7">
        <v>21336</v>
      </c>
      <c r="P684" s="7">
        <v>57607.199999999997</v>
      </c>
      <c r="Q684" s="9">
        <v>14709.45</v>
      </c>
      <c r="R684" s="17">
        <f t="shared" si="10"/>
        <v>0.25534047827354917</v>
      </c>
    </row>
    <row r="685" spans="2:18" x14ac:dyDescent="0.3">
      <c r="B685" s="21" t="s">
        <v>1418</v>
      </c>
      <c r="C685" s="11">
        <v>45293</v>
      </c>
      <c r="D685" s="10" t="s">
        <v>1419</v>
      </c>
      <c r="E685" s="10" t="s">
        <v>76</v>
      </c>
      <c r="F685" s="10" t="s">
        <v>19</v>
      </c>
      <c r="G685" s="10">
        <v>28</v>
      </c>
      <c r="H685" s="10" t="s">
        <v>66</v>
      </c>
      <c r="I685" s="10" t="s">
        <v>21</v>
      </c>
      <c r="J685" s="10" t="s">
        <v>50</v>
      </c>
      <c r="K685" s="10" t="s">
        <v>31</v>
      </c>
      <c r="L685" s="10" t="s">
        <v>60</v>
      </c>
      <c r="M685" s="10" t="s">
        <v>25</v>
      </c>
      <c r="N685" s="10">
        <v>3</v>
      </c>
      <c r="O685" s="10">
        <v>40384</v>
      </c>
      <c r="P685" s="10">
        <v>102979.2</v>
      </c>
      <c r="Q685" s="12">
        <v>17863.560000000001</v>
      </c>
      <c r="R685" s="17">
        <f t="shared" si="10"/>
        <v>0.17346765171995901</v>
      </c>
    </row>
    <row r="686" spans="2:18" x14ac:dyDescent="0.3">
      <c r="B686" s="20" t="s">
        <v>1420</v>
      </c>
      <c r="C686" s="8">
        <v>45490</v>
      </c>
      <c r="D686" s="7" t="s">
        <v>1421</v>
      </c>
      <c r="E686" s="7" t="s">
        <v>76</v>
      </c>
      <c r="F686" s="7" t="s">
        <v>19</v>
      </c>
      <c r="G686" s="7">
        <v>37</v>
      </c>
      <c r="H686" s="7" t="s">
        <v>56</v>
      </c>
      <c r="I686" s="7" t="s">
        <v>21</v>
      </c>
      <c r="J686" s="7" t="s">
        <v>30</v>
      </c>
      <c r="K686" s="7" t="s">
        <v>69</v>
      </c>
      <c r="L686" s="7" t="s">
        <v>32</v>
      </c>
      <c r="M686" s="7" t="s">
        <v>41</v>
      </c>
      <c r="N686" s="7">
        <v>4</v>
      </c>
      <c r="O686" s="7">
        <v>42921</v>
      </c>
      <c r="P686" s="7">
        <v>145931.4</v>
      </c>
      <c r="Q686" s="9">
        <v>30477.63</v>
      </c>
      <c r="R686" s="17">
        <f t="shared" si="10"/>
        <v>0.20884902084129942</v>
      </c>
    </row>
    <row r="687" spans="2:18" x14ac:dyDescent="0.3">
      <c r="B687" s="21" t="s">
        <v>1422</v>
      </c>
      <c r="C687" s="11">
        <v>45538</v>
      </c>
      <c r="D687" s="10" t="s">
        <v>1423</v>
      </c>
      <c r="E687" s="10" t="s">
        <v>79</v>
      </c>
      <c r="F687" s="10" t="s">
        <v>37</v>
      </c>
      <c r="G687" s="10">
        <v>54</v>
      </c>
      <c r="H687" s="10" t="s">
        <v>66</v>
      </c>
      <c r="I687" s="10" t="s">
        <v>39</v>
      </c>
      <c r="J687" s="10" t="s">
        <v>50</v>
      </c>
      <c r="K687" s="10" t="s">
        <v>40</v>
      </c>
      <c r="L687" s="10" t="s">
        <v>60</v>
      </c>
      <c r="M687" s="10" t="s">
        <v>33</v>
      </c>
      <c r="N687" s="10">
        <v>5</v>
      </c>
      <c r="O687" s="10">
        <v>46438</v>
      </c>
      <c r="P687" s="10">
        <v>232190</v>
      </c>
      <c r="Q687" s="12">
        <v>48673.83</v>
      </c>
      <c r="R687" s="17">
        <f t="shared" si="10"/>
        <v>0.20962931220121453</v>
      </c>
    </row>
    <row r="688" spans="2:18" x14ac:dyDescent="0.3">
      <c r="B688" s="20" t="s">
        <v>1424</v>
      </c>
      <c r="C688" s="8">
        <v>45650</v>
      </c>
      <c r="D688" s="7" t="s">
        <v>1425</v>
      </c>
      <c r="E688" s="7" t="s">
        <v>44</v>
      </c>
      <c r="F688" s="7" t="s">
        <v>37</v>
      </c>
      <c r="G688" s="7">
        <v>27</v>
      </c>
      <c r="H688" s="7" t="s">
        <v>20</v>
      </c>
      <c r="I688" s="7" t="s">
        <v>21</v>
      </c>
      <c r="J688" s="7" t="s">
        <v>50</v>
      </c>
      <c r="K688" s="7" t="s">
        <v>31</v>
      </c>
      <c r="L688" s="7" t="s">
        <v>80</v>
      </c>
      <c r="M688" s="7" t="s">
        <v>25</v>
      </c>
      <c r="N688" s="7">
        <v>5</v>
      </c>
      <c r="O688" s="7">
        <v>10121</v>
      </c>
      <c r="P688" s="7">
        <v>50605</v>
      </c>
      <c r="Q688" s="9">
        <v>11491.87</v>
      </c>
      <c r="R688" s="17">
        <f t="shared" si="10"/>
        <v>0.22708961565062744</v>
      </c>
    </row>
    <row r="689" spans="2:18" x14ac:dyDescent="0.3">
      <c r="B689" s="21" t="s">
        <v>1426</v>
      </c>
      <c r="C689" s="11">
        <v>45311</v>
      </c>
      <c r="D689" s="10" t="s">
        <v>1427</v>
      </c>
      <c r="E689" s="10" t="s">
        <v>55</v>
      </c>
      <c r="F689" s="10" t="s">
        <v>37</v>
      </c>
      <c r="G689" s="10">
        <v>47</v>
      </c>
      <c r="H689" s="10" t="s">
        <v>38</v>
      </c>
      <c r="I689" s="10" t="s">
        <v>21</v>
      </c>
      <c r="J689" s="10" t="s">
        <v>22</v>
      </c>
      <c r="K689" s="10" t="s">
        <v>23</v>
      </c>
      <c r="L689" s="10" t="s">
        <v>32</v>
      </c>
      <c r="M689" s="10" t="s">
        <v>52</v>
      </c>
      <c r="N689" s="10">
        <v>3</v>
      </c>
      <c r="O689" s="10">
        <v>1366</v>
      </c>
      <c r="P689" s="10">
        <v>3483.3</v>
      </c>
      <c r="Q689" s="12">
        <v>891.2</v>
      </c>
      <c r="R689" s="17">
        <f t="shared" si="10"/>
        <v>0.25584933827117962</v>
      </c>
    </row>
    <row r="690" spans="2:18" x14ac:dyDescent="0.3">
      <c r="B690" s="20" t="s">
        <v>1428</v>
      </c>
      <c r="C690" s="8">
        <v>45484</v>
      </c>
      <c r="D690" s="7" t="s">
        <v>1429</v>
      </c>
      <c r="E690" s="7" t="s">
        <v>93</v>
      </c>
      <c r="F690" s="7" t="s">
        <v>19</v>
      </c>
      <c r="G690" s="7">
        <v>19</v>
      </c>
      <c r="H690" s="7" t="s">
        <v>29</v>
      </c>
      <c r="I690" s="7" t="s">
        <v>21</v>
      </c>
      <c r="J690" s="7" t="s">
        <v>50</v>
      </c>
      <c r="K690" s="7" t="s">
        <v>40</v>
      </c>
      <c r="L690" s="7" t="s">
        <v>60</v>
      </c>
      <c r="M690" s="7" t="s">
        <v>41</v>
      </c>
      <c r="N690" s="7">
        <v>3</v>
      </c>
      <c r="O690" s="7">
        <v>26659</v>
      </c>
      <c r="P690" s="7">
        <v>71979.3</v>
      </c>
      <c r="Q690" s="9">
        <v>20546.98</v>
      </c>
      <c r="R690" s="17">
        <f t="shared" si="10"/>
        <v>0.28545679104964899</v>
      </c>
    </row>
    <row r="691" spans="2:18" x14ac:dyDescent="0.3">
      <c r="B691" s="21" t="s">
        <v>1430</v>
      </c>
      <c r="C691" s="11">
        <v>45538</v>
      </c>
      <c r="D691" s="10" t="s">
        <v>1431</v>
      </c>
      <c r="E691" s="10" t="s">
        <v>79</v>
      </c>
      <c r="F691" s="10" t="s">
        <v>19</v>
      </c>
      <c r="G691" s="10">
        <v>43</v>
      </c>
      <c r="H691" s="10" t="s">
        <v>38</v>
      </c>
      <c r="I691" s="10" t="s">
        <v>21</v>
      </c>
      <c r="J691" s="10" t="s">
        <v>50</v>
      </c>
      <c r="K691" s="10" t="s">
        <v>69</v>
      </c>
      <c r="L691" s="10" t="s">
        <v>24</v>
      </c>
      <c r="M691" s="10" t="s">
        <v>33</v>
      </c>
      <c r="N691" s="10">
        <v>3</v>
      </c>
      <c r="O691" s="10">
        <v>6894</v>
      </c>
      <c r="P691" s="10">
        <v>18613.8</v>
      </c>
      <c r="Q691" s="12">
        <v>4918.54</v>
      </c>
      <c r="R691" s="17">
        <f t="shared" si="10"/>
        <v>0.26424158420096916</v>
      </c>
    </row>
    <row r="692" spans="2:18" x14ac:dyDescent="0.3">
      <c r="B692" s="20" t="s">
        <v>1432</v>
      </c>
      <c r="C692" s="8">
        <v>45493</v>
      </c>
      <c r="D692" s="7" t="s">
        <v>1433</v>
      </c>
      <c r="E692" s="7" t="s">
        <v>65</v>
      </c>
      <c r="F692" s="7" t="s">
        <v>19</v>
      </c>
      <c r="G692" s="7">
        <v>23</v>
      </c>
      <c r="H692" s="7" t="s">
        <v>38</v>
      </c>
      <c r="I692" s="7" t="s">
        <v>21</v>
      </c>
      <c r="J692" s="7" t="s">
        <v>50</v>
      </c>
      <c r="K692" s="7" t="s">
        <v>40</v>
      </c>
      <c r="L692" s="7" t="s">
        <v>47</v>
      </c>
      <c r="M692" s="7" t="s">
        <v>52</v>
      </c>
      <c r="N692" s="7">
        <v>4</v>
      </c>
      <c r="O692" s="7">
        <v>39165</v>
      </c>
      <c r="P692" s="7">
        <v>125328</v>
      </c>
      <c r="Q692" s="9">
        <v>44220.98</v>
      </c>
      <c r="R692" s="17">
        <f t="shared" si="10"/>
        <v>0.35284198263755906</v>
      </c>
    </row>
    <row r="693" spans="2:18" x14ac:dyDescent="0.3">
      <c r="B693" s="21" t="s">
        <v>1434</v>
      </c>
      <c r="C693" s="11">
        <v>45648</v>
      </c>
      <c r="D693" s="10" t="s">
        <v>1435</v>
      </c>
      <c r="E693" s="10" t="s">
        <v>36</v>
      </c>
      <c r="F693" s="10" t="s">
        <v>19</v>
      </c>
      <c r="G693" s="10">
        <v>53</v>
      </c>
      <c r="H693" s="10" t="s">
        <v>66</v>
      </c>
      <c r="I693" s="10" t="s">
        <v>21</v>
      </c>
      <c r="J693" s="10" t="s">
        <v>30</v>
      </c>
      <c r="K693" s="10" t="s">
        <v>40</v>
      </c>
      <c r="L693" s="10" t="s">
        <v>24</v>
      </c>
      <c r="M693" s="10" t="s">
        <v>25</v>
      </c>
      <c r="N693" s="10">
        <v>1</v>
      </c>
      <c r="O693" s="10">
        <v>15085</v>
      </c>
      <c r="P693" s="10">
        <v>12822.25</v>
      </c>
      <c r="Q693" s="12">
        <v>3050.07</v>
      </c>
      <c r="R693" s="17">
        <f t="shared" si="10"/>
        <v>0.23787322817758194</v>
      </c>
    </row>
    <row r="694" spans="2:18" x14ac:dyDescent="0.3">
      <c r="B694" s="20" t="s">
        <v>1436</v>
      </c>
      <c r="C694" s="8">
        <v>45304</v>
      </c>
      <c r="D694" s="7" t="s">
        <v>1437</v>
      </c>
      <c r="E694" s="7" t="s">
        <v>18</v>
      </c>
      <c r="F694" s="7" t="s">
        <v>19</v>
      </c>
      <c r="G694" s="7">
        <v>25</v>
      </c>
      <c r="H694" s="7" t="s">
        <v>45</v>
      </c>
      <c r="I694" s="7" t="s">
        <v>21</v>
      </c>
      <c r="J694" s="7" t="s">
        <v>50</v>
      </c>
      <c r="K694" s="7" t="s">
        <v>40</v>
      </c>
      <c r="L694" s="7" t="s">
        <v>47</v>
      </c>
      <c r="M694" s="7" t="s">
        <v>33</v>
      </c>
      <c r="N694" s="7">
        <v>4</v>
      </c>
      <c r="O694" s="7">
        <v>38173</v>
      </c>
      <c r="P694" s="7">
        <v>145057.4</v>
      </c>
      <c r="Q694" s="9">
        <v>55742.12</v>
      </c>
      <c r="R694" s="17">
        <f t="shared" si="10"/>
        <v>0.38427629338454988</v>
      </c>
    </row>
    <row r="695" spans="2:18" x14ac:dyDescent="0.3">
      <c r="B695" s="21" t="s">
        <v>1438</v>
      </c>
      <c r="C695" s="11">
        <v>45496</v>
      </c>
      <c r="D695" s="10" t="s">
        <v>1439</v>
      </c>
      <c r="E695" s="10" t="s">
        <v>93</v>
      </c>
      <c r="F695" s="10" t="s">
        <v>19</v>
      </c>
      <c r="G695" s="10">
        <v>56</v>
      </c>
      <c r="H695" s="10" t="s">
        <v>45</v>
      </c>
      <c r="I695" s="10" t="s">
        <v>46</v>
      </c>
      <c r="J695" s="10" t="s">
        <v>30</v>
      </c>
      <c r="K695" s="10" t="s">
        <v>51</v>
      </c>
      <c r="L695" s="10" t="s">
        <v>24</v>
      </c>
      <c r="M695" s="10" t="s">
        <v>33</v>
      </c>
      <c r="N695" s="10">
        <v>5</v>
      </c>
      <c r="O695" s="10">
        <v>35027</v>
      </c>
      <c r="P695" s="10">
        <v>175135</v>
      </c>
      <c r="Q695" s="12">
        <v>46689.89</v>
      </c>
      <c r="R695" s="17">
        <f t="shared" si="10"/>
        <v>0.26659371342107518</v>
      </c>
    </row>
    <row r="696" spans="2:18" x14ac:dyDescent="0.3">
      <c r="B696" s="20" t="s">
        <v>1440</v>
      </c>
      <c r="C696" s="8">
        <v>45323</v>
      </c>
      <c r="D696" s="7" t="s">
        <v>1441</v>
      </c>
      <c r="E696" s="7" t="s">
        <v>76</v>
      </c>
      <c r="F696" s="7" t="s">
        <v>37</v>
      </c>
      <c r="G696" s="7">
        <v>51</v>
      </c>
      <c r="H696" s="7" t="s">
        <v>45</v>
      </c>
      <c r="I696" s="7" t="s">
        <v>21</v>
      </c>
      <c r="J696" s="7" t="s">
        <v>50</v>
      </c>
      <c r="K696" s="7" t="s">
        <v>31</v>
      </c>
      <c r="L696" s="7" t="s">
        <v>80</v>
      </c>
      <c r="M696" s="7" t="s">
        <v>52</v>
      </c>
      <c r="N696" s="7">
        <v>2</v>
      </c>
      <c r="O696" s="7">
        <v>15518</v>
      </c>
      <c r="P696" s="7">
        <v>26380.6</v>
      </c>
      <c r="Q696" s="9">
        <v>9297.2000000000007</v>
      </c>
      <c r="R696" s="17">
        <f t="shared" si="10"/>
        <v>0.35242564611873883</v>
      </c>
    </row>
    <row r="697" spans="2:18" x14ac:dyDescent="0.3">
      <c r="B697" s="21" t="s">
        <v>1442</v>
      </c>
      <c r="C697" s="11">
        <v>45602</v>
      </c>
      <c r="D697" s="10" t="s">
        <v>1443</v>
      </c>
      <c r="E697" s="10" t="s">
        <v>65</v>
      </c>
      <c r="F697" s="10" t="s">
        <v>19</v>
      </c>
      <c r="G697" s="10">
        <v>30</v>
      </c>
      <c r="H697" s="10" t="s">
        <v>45</v>
      </c>
      <c r="I697" s="10" t="s">
        <v>46</v>
      </c>
      <c r="J697" s="10" t="s">
        <v>30</v>
      </c>
      <c r="K697" s="10" t="s">
        <v>51</v>
      </c>
      <c r="L697" s="10" t="s">
        <v>80</v>
      </c>
      <c r="M697" s="10" t="s">
        <v>33</v>
      </c>
      <c r="N697" s="10">
        <v>4</v>
      </c>
      <c r="O697" s="10">
        <v>4696</v>
      </c>
      <c r="P697" s="10">
        <v>16905.599999999999</v>
      </c>
      <c r="Q697" s="12">
        <v>6053.78</v>
      </c>
      <c r="R697" s="17">
        <f t="shared" si="10"/>
        <v>0.35809317622562942</v>
      </c>
    </row>
    <row r="698" spans="2:18" x14ac:dyDescent="0.3">
      <c r="B698" s="20" t="s">
        <v>1444</v>
      </c>
      <c r="C698" s="8">
        <v>45587</v>
      </c>
      <c r="D698" s="7" t="s">
        <v>1445</v>
      </c>
      <c r="E698" s="7" t="s">
        <v>28</v>
      </c>
      <c r="F698" s="7" t="s">
        <v>19</v>
      </c>
      <c r="G698" s="7">
        <v>25</v>
      </c>
      <c r="H698" s="7" t="s">
        <v>66</v>
      </c>
      <c r="I698" s="7" t="s">
        <v>46</v>
      </c>
      <c r="J698" s="7" t="s">
        <v>30</v>
      </c>
      <c r="K698" s="7" t="s">
        <v>23</v>
      </c>
      <c r="L698" s="7" t="s">
        <v>80</v>
      </c>
      <c r="M698" s="7" t="s">
        <v>25</v>
      </c>
      <c r="N698" s="7">
        <v>1</v>
      </c>
      <c r="O698" s="7">
        <v>29909</v>
      </c>
      <c r="P698" s="7">
        <v>28413.55</v>
      </c>
      <c r="Q698" s="9">
        <v>11092.93</v>
      </c>
      <c r="R698" s="17">
        <f t="shared" si="10"/>
        <v>0.39040985726880312</v>
      </c>
    </row>
    <row r="699" spans="2:18" x14ac:dyDescent="0.3">
      <c r="B699" s="21" t="s">
        <v>1446</v>
      </c>
      <c r="C699" s="11">
        <v>45599</v>
      </c>
      <c r="D699" s="10" t="s">
        <v>1447</v>
      </c>
      <c r="E699" s="10" t="s">
        <v>65</v>
      </c>
      <c r="F699" s="10" t="s">
        <v>37</v>
      </c>
      <c r="G699" s="10">
        <v>39</v>
      </c>
      <c r="H699" s="10" t="s">
        <v>20</v>
      </c>
      <c r="I699" s="10" t="s">
        <v>46</v>
      </c>
      <c r="J699" s="10" t="s">
        <v>22</v>
      </c>
      <c r="K699" s="10" t="s">
        <v>31</v>
      </c>
      <c r="L699" s="10" t="s">
        <v>60</v>
      </c>
      <c r="M699" s="10" t="s">
        <v>25</v>
      </c>
      <c r="N699" s="10">
        <v>5</v>
      </c>
      <c r="O699" s="10">
        <v>16220</v>
      </c>
      <c r="P699" s="10">
        <v>68935</v>
      </c>
      <c r="Q699" s="12">
        <v>17733.79</v>
      </c>
      <c r="R699" s="17">
        <f t="shared" si="10"/>
        <v>0.25725378980198738</v>
      </c>
    </row>
    <row r="700" spans="2:18" x14ac:dyDescent="0.3">
      <c r="B700" s="20" t="s">
        <v>1448</v>
      </c>
      <c r="C700" s="8">
        <v>45345</v>
      </c>
      <c r="D700" s="7" t="s">
        <v>1449</v>
      </c>
      <c r="E700" s="7" t="s">
        <v>79</v>
      </c>
      <c r="F700" s="7" t="s">
        <v>19</v>
      </c>
      <c r="G700" s="7">
        <v>18</v>
      </c>
      <c r="H700" s="7" t="s">
        <v>56</v>
      </c>
      <c r="I700" s="7" t="s">
        <v>21</v>
      </c>
      <c r="J700" s="7" t="s">
        <v>50</v>
      </c>
      <c r="K700" s="7" t="s">
        <v>31</v>
      </c>
      <c r="L700" s="7" t="s">
        <v>47</v>
      </c>
      <c r="M700" s="7" t="s">
        <v>25</v>
      </c>
      <c r="N700" s="7">
        <v>3</v>
      </c>
      <c r="O700" s="7">
        <v>23766</v>
      </c>
      <c r="P700" s="7">
        <v>64168.2</v>
      </c>
      <c r="Q700" s="9">
        <v>17010.59</v>
      </c>
      <c r="R700" s="17">
        <f t="shared" si="10"/>
        <v>0.26509376918785321</v>
      </c>
    </row>
    <row r="701" spans="2:18" x14ac:dyDescent="0.3">
      <c r="B701" s="21" t="s">
        <v>1450</v>
      </c>
      <c r="C701" s="11">
        <v>45378</v>
      </c>
      <c r="D701" s="10" t="s">
        <v>1451</v>
      </c>
      <c r="E701" s="10" t="s">
        <v>28</v>
      </c>
      <c r="F701" s="10" t="s">
        <v>37</v>
      </c>
      <c r="G701" s="10">
        <v>47</v>
      </c>
      <c r="H701" s="10" t="s">
        <v>29</v>
      </c>
      <c r="I701" s="10" t="s">
        <v>21</v>
      </c>
      <c r="J701" s="10" t="s">
        <v>22</v>
      </c>
      <c r="K701" s="10" t="s">
        <v>51</v>
      </c>
      <c r="L701" s="10" t="s">
        <v>24</v>
      </c>
      <c r="M701" s="10" t="s">
        <v>41</v>
      </c>
      <c r="N701" s="10">
        <v>1</v>
      </c>
      <c r="O701" s="10">
        <v>37597</v>
      </c>
      <c r="P701" s="10">
        <v>30077.599999999999</v>
      </c>
      <c r="Q701" s="12">
        <v>10720.85</v>
      </c>
      <c r="R701" s="17">
        <f t="shared" si="10"/>
        <v>0.35643967603798177</v>
      </c>
    </row>
    <row r="702" spans="2:18" x14ac:dyDescent="0.3">
      <c r="B702" s="20" t="s">
        <v>1452</v>
      </c>
      <c r="C702" s="8">
        <v>45449</v>
      </c>
      <c r="D702" s="7" t="s">
        <v>1453</v>
      </c>
      <c r="E702" s="7" t="s">
        <v>93</v>
      </c>
      <c r="F702" s="7" t="s">
        <v>37</v>
      </c>
      <c r="G702" s="7">
        <v>40</v>
      </c>
      <c r="H702" s="7" t="s">
        <v>29</v>
      </c>
      <c r="I702" s="7" t="s">
        <v>46</v>
      </c>
      <c r="J702" s="7" t="s">
        <v>22</v>
      </c>
      <c r="K702" s="7" t="s">
        <v>40</v>
      </c>
      <c r="L702" s="7" t="s">
        <v>80</v>
      </c>
      <c r="M702" s="7" t="s">
        <v>52</v>
      </c>
      <c r="N702" s="7">
        <v>5</v>
      </c>
      <c r="O702" s="7">
        <v>37256</v>
      </c>
      <c r="P702" s="7">
        <v>167652</v>
      </c>
      <c r="Q702" s="9">
        <v>58020.62</v>
      </c>
      <c r="R702" s="17">
        <f t="shared" si="10"/>
        <v>0.34607770858683468</v>
      </c>
    </row>
    <row r="703" spans="2:18" x14ac:dyDescent="0.3">
      <c r="B703" s="21" t="s">
        <v>1454</v>
      </c>
      <c r="C703" s="11">
        <v>45483</v>
      </c>
      <c r="D703" s="10" t="s">
        <v>1455</v>
      </c>
      <c r="E703" s="10" t="s">
        <v>44</v>
      </c>
      <c r="F703" s="10" t="s">
        <v>37</v>
      </c>
      <c r="G703" s="10">
        <v>26</v>
      </c>
      <c r="H703" s="10" t="s">
        <v>20</v>
      </c>
      <c r="I703" s="10" t="s">
        <v>21</v>
      </c>
      <c r="J703" s="10" t="s">
        <v>22</v>
      </c>
      <c r="K703" s="10" t="s">
        <v>51</v>
      </c>
      <c r="L703" s="10" t="s">
        <v>80</v>
      </c>
      <c r="M703" s="10" t="s">
        <v>52</v>
      </c>
      <c r="N703" s="10">
        <v>1</v>
      </c>
      <c r="O703" s="10">
        <v>33110</v>
      </c>
      <c r="P703" s="10">
        <v>26488</v>
      </c>
      <c r="Q703" s="12">
        <v>4379.46</v>
      </c>
      <c r="R703" s="17">
        <f t="shared" si="10"/>
        <v>0.16533751132588342</v>
      </c>
    </row>
    <row r="704" spans="2:18" x14ac:dyDescent="0.3">
      <c r="B704" s="20" t="s">
        <v>1456</v>
      </c>
      <c r="C704" s="8">
        <v>45512</v>
      </c>
      <c r="D704" s="7" t="s">
        <v>1457</v>
      </c>
      <c r="E704" s="7" t="s">
        <v>93</v>
      </c>
      <c r="F704" s="7" t="s">
        <v>19</v>
      </c>
      <c r="G704" s="7">
        <v>24</v>
      </c>
      <c r="H704" s="7" t="s">
        <v>56</v>
      </c>
      <c r="I704" s="7" t="s">
        <v>21</v>
      </c>
      <c r="J704" s="7" t="s">
        <v>22</v>
      </c>
      <c r="K704" s="7" t="s">
        <v>31</v>
      </c>
      <c r="L704" s="7" t="s">
        <v>32</v>
      </c>
      <c r="M704" s="7" t="s">
        <v>41</v>
      </c>
      <c r="N704" s="7">
        <v>1</v>
      </c>
      <c r="O704" s="7">
        <v>32941</v>
      </c>
      <c r="P704" s="7">
        <v>27999.85</v>
      </c>
      <c r="Q704" s="9">
        <v>7755.29</v>
      </c>
      <c r="R704" s="17">
        <f t="shared" si="10"/>
        <v>0.2769761266578214</v>
      </c>
    </row>
    <row r="705" spans="2:18" x14ac:dyDescent="0.3">
      <c r="B705" s="21" t="s">
        <v>1458</v>
      </c>
      <c r="C705" s="11">
        <v>45302</v>
      </c>
      <c r="D705" s="10" t="s">
        <v>1459</v>
      </c>
      <c r="E705" s="10" t="s">
        <v>65</v>
      </c>
      <c r="F705" s="10" t="s">
        <v>37</v>
      </c>
      <c r="G705" s="10">
        <v>57</v>
      </c>
      <c r="H705" s="10" t="s">
        <v>38</v>
      </c>
      <c r="I705" s="10" t="s">
        <v>46</v>
      </c>
      <c r="J705" s="10" t="s">
        <v>22</v>
      </c>
      <c r="K705" s="10" t="s">
        <v>40</v>
      </c>
      <c r="L705" s="10" t="s">
        <v>47</v>
      </c>
      <c r="M705" s="10" t="s">
        <v>41</v>
      </c>
      <c r="N705" s="10">
        <v>3</v>
      </c>
      <c r="O705" s="10">
        <v>11969</v>
      </c>
      <c r="P705" s="10">
        <v>35907</v>
      </c>
      <c r="Q705" s="12">
        <v>10066.67</v>
      </c>
      <c r="R705" s="17">
        <f t="shared" si="10"/>
        <v>0.28035396997799872</v>
      </c>
    </row>
    <row r="706" spans="2:18" x14ac:dyDescent="0.3">
      <c r="B706" s="20" t="s">
        <v>1460</v>
      </c>
      <c r="C706" s="8">
        <v>45485</v>
      </c>
      <c r="D706" s="7" t="s">
        <v>1461</v>
      </c>
      <c r="E706" s="7" t="s">
        <v>59</v>
      </c>
      <c r="F706" s="7" t="s">
        <v>37</v>
      </c>
      <c r="G706" s="7">
        <v>28</v>
      </c>
      <c r="H706" s="7" t="s">
        <v>66</v>
      </c>
      <c r="I706" s="7" t="s">
        <v>21</v>
      </c>
      <c r="J706" s="7" t="s">
        <v>22</v>
      </c>
      <c r="K706" s="7" t="s">
        <v>40</v>
      </c>
      <c r="L706" s="7" t="s">
        <v>60</v>
      </c>
      <c r="M706" s="7" t="s">
        <v>25</v>
      </c>
      <c r="N706" s="7">
        <v>5</v>
      </c>
      <c r="O706" s="7">
        <v>45316</v>
      </c>
      <c r="P706" s="7">
        <v>192593</v>
      </c>
      <c r="Q706" s="9">
        <v>71753.679999999993</v>
      </c>
      <c r="R706" s="17">
        <f t="shared" si="10"/>
        <v>0.37256639649416123</v>
      </c>
    </row>
    <row r="707" spans="2:18" x14ac:dyDescent="0.3">
      <c r="B707" s="21" t="s">
        <v>1462</v>
      </c>
      <c r="C707" s="11">
        <v>45514</v>
      </c>
      <c r="D707" s="10" t="s">
        <v>1463</v>
      </c>
      <c r="E707" s="10" t="s">
        <v>44</v>
      </c>
      <c r="F707" s="10" t="s">
        <v>19</v>
      </c>
      <c r="G707" s="10">
        <v>20</v>
      </c>
      <c r="H707" s="10" t="s">
        <v>66</v>
      </c>
      <c r="I707" s="10" t="s">
        <v>21</v>
      </c>
      <c r="J707" s="10" t="s">
        <v>30</v>
      </c>
      <c r="K707" s="10" t="s">
        <v>40</v>
      </c>
      <c r="L707" s="10" t="s">
        <v>60</v>
      </c>
      <c r="M707" s="10" t="s">
        <v>41</v>
      </c>
      <c r="N707" s="10">
        <v>1</v>
      </c>
      <c r="O707" s="10">
        <v>30709</v>
      </c>
      <c r="P707" s="10">
        <v>30709</v>
      </c>
      <c r="Q707" s="12">
        <v>8338.4699999999993</v>
      </c>
      <c r="R707" s="17">
        <f t="shared" si="10"/>
        <v>0.27153179849555503</v>
      </c>
    </row>
    <row r="708" spans="2:18" x14ac:dyDescent="0.3">
      <c r="B708" s="20" t="s">
        <v>1464</v>
      </c>
      <c r="C708" s="8">
        <v>45357</v>
      </c>
      <c r="D708" s="7" t="s">
        <v>1465</v>
      </c>
      <c r="E708" s="7" t="s">
        <v>93</v>
      </c>
      <c r="F708" s="7" t="s">
        <v>37</v>
      </c>
      <c r="G708" s="7">
        <v>18</v>
      </c>
      <c r="H708" s="7" t="s">
        <v>29</v>
      </c>
      <c r="I708" s="7" t="s">
        <v>21</v>
      </c>
      <c r="J708" s="7" t="s">
        <v>50</v>
      </c>
      <c r="K708" s="7" t="s">
        <v>23</v>
      </c>
      <c r="L708" s="7" t="s">
        <v>80</v>
      </c>
      <c r="M708" s="7" t="s">
        <v>33</v>
      </c>
      <c r="N708" s="7">
        <v>1</v>
      </c>
      <c r="O708" s="7">
        <v>45101</v>
      </c>
      <c r="P708" s="7">
        <v>42845.95</v>
      </c>
      <c r="Q708" s="9">
        <v>9914.9699999999993</v>
      </c>
      <c r="R708" s="17">
        <f t="shared" ref="R708:R771" si="11">Q708/P708</f>
        <v>0.2314097365095184</v>
      </c>
    </row>
    <row r="709" spans="2:18" x14ac:dyDescent="0.3">
      <c r="B709" s="21" t="s">
        <v>1466</v>
      </c>
      <c r="C709" s="11">
        <v>45343</v>
      </c>
      <c r="D709" s="10" t="s">
        <v>1467</v>
      </c>
      <c r="E709" s="10" t="s">
        <v>28</v>
      </c>
      <c r="F709" s="10" t="s">
        <v>19</v>
      </c>
      <c r="G709" s="10">
        <v>30</v>
      </c>
      <c r="H709" s="10" t="s">
        <v>20</v>
      </c>
      <c r="I709" s="10" t="s">
        <v>21</v>
      </c>
      <c r="J709" s="10" t="s">
        <v>22</v>
      </c>
      <c r="K709" s="10" t="s">
        <v>51</v>
      </c>
      <c r="L709" s="10" t="s">
        <v>32</v>
      </c>
      <c r="M709" s="10" t="s">
        <v>41</v>
      </c>
      <c r="N709" s="10">
        <v>2</v>
      </c>
      <c r="O709" s="10">
        <v>11574</v>
      </c>
      <c r="P709" s="10">
        <v>19675.8</v>
      </c>
      <c r="Q709" s="12">
        <v>3812.06</v>
      </c>
      <c r="R709" s="17">
        <f t="shared" si="11"/>
        <v>0.19374358348834608</v>
      </c>
    </row>
    <row r="710" spans="2:18" x14ac:dyDescent="0.3">
      <c r="B710" s="20" t="s">
        <v>1468</v>
      </c>
      <c r="C710" s="8">
        <v>45397</v>
      </c>
      <c r="D710" s="7" t="s">
        <v>1469</v>
      </c>
      <c r="E710" s="7" t="s">
        <v>36</v>
      </c>
      <c r="F710" s="7" t="s">
        <v>19</v>
      </c>
      <c r="G710" s="7">
        <v>57</v>
      </c>
      <c r="H710" s="7" t="s">
        <v>29</v>
      </c>
      <c r="I710" s="7" t="s">
        <v>46</v>
      </c>
      <c r="J710" s="7" t="s">
        <v>22</v>
      </c>
      <c r="K710" s="7" t="s">
        <v>69</v>
      </c>
      <c r="L710" s="7" t="s">
        <v>80</v>
      </c>
      <c r="M710" s="7" t="s">
        <v>25</v>
      </c>
      <c r="N710" s="7">
        <v>3</v>
      </c>
      <c r="O710" s="7">
        <v>5409</v>
      </c>
      <c r="P710" s="7">
        <v>13792.95</v>
      </c>
      <c r="Q710" s="9">
        <v>4316.03</v>
      </c>
      <c r="R710" s="17">
        <f t="shared" si="11"/>
        <v>0.31291565618667505</v>
      </c>
    </row>
    <row r="711" spans="2:18" x14ac:dyDescent="0.3">
      <c r="B711" s="21" t="s">
        <v>1470</v>
      </c>
      <c r="C711" s="11">
        <v>45344</v>
      </c>
      <c r="D711" s="10" t="s">
        <v>1471</v>
      </c>
      <c r="E711" s="10" t="s">
        <v>28</v>
      </c>
      <c r="F711" s="10" t="s">
        <v>19</v>
      </c>
      <c r="G711" s="10">
        <v>47</v>
      </c>
      <c r="H711" s="10" t="s">
        <v>29</v>
      </c>
      <c r="I711" s="10" t="s">
        <v>46</v>
      </c>
      <c r="J711" s="10" t="s">
        <v>30</v>
      </c>
      <c r="K711" s="10" t="s">
        <v>40</v>
      </c>
      <c r="L711" s="10" t="s">
        <v>32</v>
      </c>
      <c r="M711" s="10" t="s">
        <v>33</v>
      </c>
      <c r="N711" s="10">
        <v>4</v>
      </c>
      <c r="O711" s="10">
        <v>19040</v>
      </c>
      <c r="P711" s="10">
        <v>60928</v>
      </c>
      <c r="Q711" s="12">
        <v>10188.41</v>
      </c>
      <c r="R711" s="17">
        <f t="shared" si="11"/>
        <v>0.16722048975840337</v>
      </c>
    </row>
    <row r="712" spans="2:18" x14ac:dyDescent="0.3">
      <c r="B712" s="20" t="s">
        <v>1472</v>
      </c>
      <c r="C712" s="8">
        <v>45297</v>
      </c>
      <c r="D712" s="7" t="s">
        <v>1473</v>
      </c>
      <c r="E712" s="7" t="s">
        <v>65</v>
      </c>
      <c r="F712" s="7" t="s">
        <v>37</v>
      </c>
      <c r="G712" s="7">
        <v>42</v>
      </c>
      <c r="H712" s="7" t="s">
        <v>20</v>
      </c>
      <c r="I712" s="7" t="s">
        <v>39</v>
      </c>
      <c r="J712" s="7" t="s">
        <v>30</v>
      </c>
      <c r="K712" s="7" t="s">
        <v>23</v>
      </c>
      <c r="L712" s="7" t="s">
        <v>32</v>
      </c>
      <c r="M712" s="7" t="s">
        <v>25</v>
      </c>
      <c r="N712" s="7">
        <v>2</v>
      </c>
      <c r="O712" s="7">
        <v>19923</v>
      </c>
      <c r="P712" s="7">
        <v>37853.699999999997</v>
      </c>
      <c r="Q712" s="9">
        <v>11912.06</v>
      </c>
      <c r="R712" s="17">
        <f t="shared" si="11"/>
        <v>0.31468680736625482</v>
      </c>
    </row>
    <row r="713" spans="2:18" x14ac:dyDescent="0.3">
      <c r="B713" s="21" t="s">
        <v>1474</v>
      </c>
      <c r="C713" s="11">
        <v>45480</v>
      </c>
      <c r="D713" s="10" t="s">
        <v>1475</v>
      </c>
      <c r="E713" s="10" t="s">
        <v>44</v>
      </c>
      <c r="F713" s="10" t="s">
        <v>37</v>
      </c>
      <c r="G713" s="10">
        <v>51</v>
      </c>
      <c r="H713" s="10" t="s">
        <v>38</v>
      </c>
      <c r="I713" s="10" t="s">
        <v>46</v>
      </c>
      <c r="J713" s="10" t="s">
        <v>30</v>
      </c>
      <c r="K713" s="10" t="s">
        <v>23</v>
      </c>
      <c r="L713" s="10" t="s">
        <v>24</v>
      </c>
      <c r="M713" s="10" t="s">
        <v>33</v>
      </c>
      <c r="N713" s="10">
        <v>2</v>
      </c>
      <c r="O713" s="10">
        <v>5994</v>
      </c>
      <c r="P713" s="10">
        <v>10789.2</v>
      </c>
      <c r="Q713" s="12">
        <v>2784</v>
      </c>
      <c r="R713" s="17">
        <f t="shared" si="11"/>
        <v>0.25803581359136912</v>
      </c>
    </row>
    <row r="714" spans="2:18" x14ac:dyDescent="0.3">
      <c r="B714" s="20" t="s">
        <v>1476</v>
      </c>
      <c r="C714" s="8">
        <v>45466</v>
      </c>
      <c r="D714" s="7" t="s">
        <v>1477</v>
      </c>
      <c r="E714" s="7" t="s">
        <v>36</v>
      </c>
      <c r="F714" s="7" t="s">
        <v>37</v>
      </c>
      <c r="G714" s="7">
        <v>35</v>
      </c>
      <c r="H714" s="7" t="s">
        <v>38</v>
      </c>
      <c r="I714" s="7" t="s">
        <v>21</v>
      </c>
      <c r="J714" s="7" t="s">
        <v>30</v>
      </c>
      <c r="K714" s="7" t="s">
        <v>23</v>
      </c>
      <c r="L714" s="7" t="s">
        <v>47</v>
      </c>
      <c r="M714" s="7" t="s">
        <v>41</v>
      </c>
      <c r="N714" s="7">
        <v>1</v>
      </c>
      <c r="O714" s="7">
        <v>30632</v>
      </c>
      <c r="P714" s="7">
        <v>26037.200000000001</v>
      </c>
      <c r="Q714" s="9">
        <v>5879.72</v>
      </c>
      <c r="R714" s="17">
        <f t="shared" si="11"/>
        <v>0.2258199806430799</v>
      </c>
    </row>
    <row r="715" spans="2:18" x14ac:dyDescent="0.3">
      <c r="B715" s="21" t="s">
        <v>1478</v>
      </c>
      <c r="C715" s="11">
        <v>45526</v>
      </c>
      <c r="D715" s="10" t="s">
        <v>1479</v>
      </c>
      <c r="E715" s="10" t="s">
        <v>28</v>
      </c>
      <c r="F715" s="10" t="s">
        <v>37</v>
      </c>
      <c r="G715" s="10">
        <v>56</v>
      </c>
      <c r="H715" s="10" t="s">
        <v>38</v>
      </c>
      <c r="I715" s="10" t="s">
        <v>21</v>
      </c>
      <c r="J715" s="10" t="s">
        <v>50</v>
      </c>
      <c r="K715" s="10" t="s">
        <v>40</v>
      </c>
      <c r="L715" s="10" t="s">
        <v>47</v>
      </c>
      <c r="M715" s="10" t="s">
        <v>52</v>
      </c>
      <c r="N715" s="10">
        <v>2</v>
      </c>
      <c r="O715" s="10">
        <v>17226</v>
      </c>
      <c r="P715" s="10">
        <v>29284.2</v>
      </c>
      <c r="Q715" s="12">
        <v>6806.95</v>
      </c>
      <c r="R715" s="17">
        <f t="shared" si="11"/>
        <v>0.2324444581036873</v>
      </c>
    </row>
    <row r="716" spans="2:18" x14ac:dyDescent="0.3">
      <c r="B716" s="20" t="s">
        <v>1480</v>
      </c>
      <c r="C716" s="8">
        <v>45482</v>
      </c>
      <c r="D716" s="7" t="s">
        <v>1481</v>
      </c>
      <c r="E716" s="7" t="s">
        <v>28</v>
      </c>
      <c r="F716" s="7" t="s">
        <v>19</v>
      </c>
      <c r="G716" s="7">
        <v>42</v>
      </c>
      <c r="H716" s="7" t="s">
        <v>29</v>
      </c>
      <c r="I716" s="7" t="s">
        <v>21</v>
      </c>
      <c r="J716" s="7" t="s">
        <v>22</v>
      </c>
      <c r="K716" s="7" t="s">
        <v>69</v>
      </c>
      <c r="L716" s="7" t="s">
        <v>32</v>
      </c>
      <c r="M716" s="7" t="s">
        <v>52</v>
      </c>
      <c r="N716" s="7">
        <v>5</v>
      </c>
      <c r="O716" s="7">
        <v>41882</v>
      </c>
      <c r="P716" s="7">
        <v>209410</v>
      </c>
      <c r="Q716" s="9">
        <v>45650.11</v>
      </c>
      <c r="R716" s="17">
        <f t="shared" si="11"/>
        <v>0.21799393534215175</v>
      </c>
    </row>
    <row r="717" spans="2:18" x14ac:dyDescent="0.3">
      <c r="B717" s="21" t="s">
        <v>1482</v>
      </c>
      <c r="C717" s="11">
        <v>45300</v>
      </c>
      <c r="D717" s="10" t="s">
        <v>1483</v>
      </c>
      <c r="E717" s="10" t="s">
        <v>44</v>
      </c>
      <c r="F717" s="10" t="s">
        <v>19</v>
      </c>
      <c r="G717" s="10">
        <v>40</v>
      </c>
      <c r="H717" s="10" t="s">
        <v>56</v>
      </c>
      <c r="I717" s="10" t="s">
        <v>39</v>
      </c>
      <c r="J717" s="10" t="s">
        <v>22</v>
      </c>
      <c r="K717" s="10" t="s">
        <v>40</v>
      </c>
      <c r="L717" s="10" t="s">
        <v>60</v>
      </c>
      <c r="M717" s="10" t="s">
        <v>52</v>
      </c>
      <c r="N717" s="10">
        <v>5</v>
      </c>
      <c r="O717" s="10">
        <v>49151</v>
      </c>
      <c r="P717" s="10">
        <v>233467.25</v>
      </c>
      <c r="Q717" s="12">
        <v>75488.09</v>
      </c>
      <c r="R717" s="17">
        <f t="shared" si="11"/>
        <v>0.32333481462603425</v>
      </c>
    </row>
    <row r="718" spans="2:18" x14ac:dyDescent="0.3">
      <c r="B718" s="20" t="s">
        <v>1484</v>
      </c>
      <c r="C718" s="8">
        <v>45520</v>
      </c>
      <c r="D718" s="7" t="s">
        <v>1485</v>
      </c>
      <c r="E718" s="7" t="s">
        <v>65</v>
      </c>
      <c r="F718" s="7" t="s">
        <v>37</v>
      </c>
      <c r="G718" s="7">
        <v>30</v>
      </c>
      <c r="H718" s="7" t="s">
        <v>56</v>
      </c>
      <c r="I718" s="7" t="s">
        <v>21</v>
      </c>
      <c r="J718" s="7" t="s">
        <v>50</v>
      </c>
      <c r="K718" s="7" t="s">
        <v>40</v>
      </c>
      <c r="L718" s="7" t="s">
        <v>80</v>
      </c>
      <c r="M718" s="7" t="s">
        <v>33</v>
      </c>
      <c r="N718" s="7">
        <v>3</v>
      </c>
      <c r="O718" s="7">
        <v>30526</v>
      </c>
      <c r="P718" s="7">
        <v>77841.3</v>
      </c>
      <c r="Q718" s="9">
        <v>26132.48</v>
      </c>
      <c r="R718" s="17">
        <f t="shared" si="11"/>
        <v>0.335714845461214</v>
      </c>
    </row>
    <row r="719" spans="2:18" x14ac:dyDescent="0.3">
      <c r="B719" s="21" t="s">
        <v>1486</v>
      </c>
      <c r="C719" s="11">
        <v>45614</v>
      </c>
      <c r="D719" s="10" t="s">
        <v>1487</v>
      </c>
      <c r="E719" s="10" t="s">
        <v>65</v>
      </c>
      <c r="F719" s="10" t="s">
        <v>19</v>
      </c>
      <c r="G719" s="10">
        <v>41</v>
      </c>
      <c r="H719" s="10" t="s">
        <v>56</v>
      </c>
      <c r="I719" s="10" t="s">
        <v>21</v>
      </c>
      <c r="J719" s="10" t="s">
        <v>30</v>
      </c>
      <c r="K719" s="10" t="s">
        <v>23</v>
      </c>
      <c r="L719" s="10" t="s">
        <v>32</v>
      </c>
      <c r="M719" s="10" t="s">
        <v>25</v>
      </c>
      <c r="N719" s="10">
        <v>1</v>
      </c>
      <c r="O719" s="10">
        <v>19026</v>
      </c>
      <c r="P719" s="10">
        <v>18074.7</v>
      </c>
      <c r="Q719" s="12">
        <v>7130.44</v>
      </c>
      <c r="R719" s="17">
        <f t="shared" si="11"/>
        <v>0.39449838724847436</v>
      </c>
    </row>
    <row r="720" spans="2:18" x14ac:dyDescent="0.3">
      <c r="B720" s="20" t="s">
        <v>1488</v>
      </c>
      <c r="C720" s="8">
        <v>45356</v>
      </c>
      <c r="D720" s="7" t="s">
        <v>1489</v>
      </c>
      <c r="E720" s="7" t="s">
        <v>28</v>
      </c>
      <c r="F720" s="7" t="s">
        <v>37</v>
      </c>
      <c r="G720" s="7">
        <v>45</v>
      </c>
      <c r="H720" s="7" t="s">
        <v>29</v>
      </c>
      <c r="I720" s="7" t="s">
        <v>21</v>
      </c>
      <c r="J720" s="7" t="s">
        <v>22</v>
      </c>
      <c r="K720" s="7" t="s">
        <v>69</v>
      </c>
      <c r="L720" s="7" t="s">
        <v>60</v>
      </c>
      <c r="M720" s="7" t="s">
        <v>41</v>
      </c>
      <c r="N720" s="7">
        <v>1</v>
      </c>
      <c r="O720" s="7">
        <v>9296</v>
      </c>
      <c r="P720" s="7">
        <v>8831.2000000000007</v>
      </c>
      <c r="Q720" s="9">
        <v>1919.48</v>
      </c>
      <c r="R720" s="17">
        <f t="shared" si="11"/>
        <v>0.2173521152278286</v>
      </c>
    </row>
    <row r="721" spans="2:18" x14ac:dyDescent="0.3">
      <c r="B721" s="21" t="s">
        <v>1490</v>
      </c>
      <c r="C721" s="11">
        <v>45440</v>
      </c>
      <c r="D721" s="10" t="s">
        <v>1491</v>
      </c>
      <c r="E721" s="10" t="s">
        <v>55</v>
      </c>
      <c r="F721" s="10" t="s">
        <v>37</v>
      </c>
      <c r="G721" s="10">
        <v>21</v>
      </c>
      <c r="H721" s="10" t="s">
        <v>20</v>
      </c>
      <c r="I721" s="10" t="s">
        <v>46</v>
      </c>
      <c r="J721" s="10" t="s">
        <v>50</v>
      </c>
      <c r="K721" s="10" t="s">
        <v>23</v>
      </c>
      <c r="L721" s="10" t="s">
        <v>47</v>
      </c>
      <c r="M721" s="10" t="s">
        <v>25</v>
      </c>
      <c r="N721" s="10">
        <v>1</v>
      </c>
      <c r="O721" s="10">
        <v>6388</v>
      </c>
      <c r="P721" s="10">
        <v>6068.6</v>
      </c>
      <c r="Q721" s="12">
        <v>1607.88</v>
      </c>
      <c r="R721" s="17">
        <f t="shared" si="11"/>
        <v>0.26495072998714697</v>
      </c>
    </row>
    <row r="722" spans="2:18" x14ac:dyDescent="0.3">
      <c r="B722" s="20" t="s">
        <v>1492</v>
      </c>
      <c r="C722" s="8">
        <v>45305</v>
      </c>
      <c r="D722" s="7" t="s">
        <v>1493</v>
      </c>
      <c r="E722" s="7" t="s">
        <v>93</v>
      </c>
      <c r="F722" s="7" t="s">
        <v>19</v>
      </c>
      <c r="G722" s="7">
        <v>45</v>
      </c>
      <c r="H722" s="7" t="s">
        <v>29</v>
      </c>
      <c r="I722" s="7" t="s">
        <v>46</v>
      </c>
      <c r="J722" s="7" t="s">
        <v>22</v>
      </c>
      <c r="K722" s="7" t="s">
        <v>51</v>
      </c>
      <c r="L722" s="7" t="s">
        <v>47</v>
      </c>
      <c r="M722" s="7" t="s">
        <v>41</v>
      </c>
      <c r="N722" s="7">
        <v>3</v>
      </c>
      <c r="O722" s="7">
        <v>36469</v>
      </c>
      <c r="P722" s="7">
        <v>98466.3</v>
      </c>
      <c r="Q722" s="9">
        <v>15938.1</v>
      </c>
      <c r="R722" s="17">
        <f t="shared" si="11"/>
        <v>0.16186350050728016</v>
      </c>
    </row>
    <row r="723" spans="2:18" x14ac:dyDescent="0.3">
      <c r="B723" s="21" t="s">
        <v>1494</v>
      </c>
      <c r="C723" s="11">
        <v>45311</v>
      </c>
      <c r="D723" s="10" t="s">
        <v>1495</v>
      </c>
      <c r="E723" s="10" t="s">
        <v>65</v>
      </c>
      <c r="F723" s="10" t="s">
        <v>37</v>
      </c>
      <c r="G723" s="10">
        <v>19</v>
      </c>
      <c r="H723" s="10" t="s">
        <v>56</v>
      </c>
      <c r="I723" s="10" t="s">
        <v>21</v>
      </c>
      <c r="J723" s="10" t="s">
        <v>50</v>
      </c>
      <c r="K723" s="10" t="s">
        <v>23</v>
      </c>
      <c r="L723" s="10" t="s">
        <v>60</v>
      </c>
      <c r="M723" s="10" t="s">
        <v>52</v>
      </c>
      <c r="N723" s="10">
        <v>2</v>
      </c>
      <c r="O723" s="10">
        <v>3173</v>
      </c>
      <c r="P723" s="10">
        <v>6346</v>
      </c>
      <c r="Q723" s="12">
        <v>2010.18</v>
      </c>
      <c r="R723" s="17">
        <f t="shared" si="11"/>
        <v>0.31676331547431452</v>
      </c>
    </row>
    <row r="724" spans="2:18" x14ac:dyDescent="0.3">
      <c r="B724" s="20" t="s">
        <v>1496</v>
      </c>
      <c r="C724" s="8">
        <v>45470</v>
      </c>
      <c r="D724" s="7" t="s">
        <v>1497</v>
      </c>
      <c r="E724" s="7" t="s">
        <v>55</v>
      </c>
      <c r="F724" s="7" t="s">
        <v>37</v>
      </c>
      <c r="G724" s="7">
        <v>52</v>
      </c>
      <c r="H724" s="7" t="s">
        <v>20</v>
      </c>
      <c r="I724" s="7" t="s">
        <v>46</v>
      </c>
      <c r="J724" s="7" t="s">
        <v>22</v>
      </c>
      <c r="K724" s="7" t="s">
        <v>23</v>
      </c>
      <c r="L724" s="7" t="s">
        <v>32</v>
      </c>
      <c r="M724" s="7" t="s">
        <v>25</v>
      </c>
      <c r="N724" s="7">
        <v>4</v>
      </c>
      <c r="O724" s="7">
        <v>49482</v>
      </c>
      <c r="P724" s="7">
        <v>158342.39999999999</v>
      </c>
      <c r="Q724" s="9">
        <v>49215.98</v>
      </c>
      <c r="R724" s="17">
        <f t="shared" si="11"/>
        <v>0.31081996988804012</v>
      </c>
    </row>
    <row r="725" spans="2:18" x14ac:dyDescent="0.3">
      <c r="B725" s="21" t="s">
        <v>1498</v>
      </c>
      <c r="C725" s="11">
        <v>45616</v>
      </c>
      <c r="D725" s="10" t="s">
        <v>1499</v>
      </c>
      <c r="E725" s="10" t="s">
        <v>28</v>
      </c>
      <c r="F725" s="10" t="s">
        <v>37</v>
      </c>
      <c r="G725" s="10">
        <v>38</v>
      </c>
      <c r="H725" s="10" t="s">
        <v>38</v>
      </c>
      <c r="I725" s="10" t="s">
        <v>21</v>
      </c>
      <c r="J725" s="10" t="s">
        <v>50</v>
      </c>
      <c r="K725" s="10" t="s">
        <v>31</v>
      </c>
      <c r="L725" s="10" t="s">
        <v>60</v>
      </c>
      <c r="M725" s="10" t="s">
        <v>33</v>
      </c>
      <c r="N725" s="10">
        <v>2</v>
      </c>
      <c r="O725" s="10">
        <v>29909</v>
      </c>
      <c r="P725" s="10">
        <v>59818</v>
      </c>
      <c r="Q725" s="12">
        <v>16186.09</v>
      </c>
      <c r="R725" s="17">
        <f t="shared" si="11"/>
        <v>0.27058895315791232</v>
      </c>
    </row>
    <row r="726" spans="2:18" x14ac:dyDescent="0.3">
      <c r="B726" s="20" t="s">
        <v>1500</v>
      </c>
      <c r="C726" s="8">
        <v>45619</v>
      </c>
      <c r="D726" s="7" t="s">
        <v>1501</v>
      </c>
      <c r="E726" s="7" t="s">
        <v>36</v>
      </c>
      <c r="F726" s="7" t="s">
        <v>37</v>
      </c>
      <c r="G726" s="7">
        <v>42</v>
      </c>
      <c r="H726" s="7" t="s">
        <v>66</v>
      </c>
      <c r="I726" s="7" t="s">
        <v>21</v>
      </c>
      <c r="J726" s="7" t="s">
        <v>30</v>
      </c>
      <c r="K726" s="7" t="s">
        <v>23</v>
      </c>
      <c r="L726" s="7" t="s">
        <v>60</v>
      </c>
      <c r="M726" s="7" t="s">
        <v>52</v>
      </c>
      <c r="N726" s="7">
        <v>5</v>
      </c>
      <c r="O726" s="7">
        <v>48878</v>
      </c>
      <c r="P726" s="7">
        <v>207731.5</v>
      </c>
      <c r="Q726" s="9">
        <v>49175.82</v>
      </c>
      <c r="R726" s="17">
        <f t="shared" si="11"/>
        <v>0.23672779525493245</v>
      </c>
    </row>
    <row r="727" spans="2:18" x14ac:dyDescent="0.3">
      <c r="B727" s="21" t="s">
        <v>1502</v>
      </c>
      <c r="C727" s="11">
        <v>45604</v>
      </c>
      <c r="D727" s="10" t="s">
        <v>1503</v>
      </c>
      <c r="E727" s="10" t="s">
        <v>79</v>
      </c>
      <c r="F727" s="10" t="s">
        <v>19</v>
      </c>
      <c r="G727" s="10">
        <v>37</v>
      </c>
      <c r="H727" s="10" t="s">
        <v>56</v>
      </c>
      <c r="I727" s="10" t="s">
        <v>39</v>
      </c>
      <c r="J727" s="10" t="s">
        <v>22</v>
      </c>
      <c r="K727" s="10" t="s">
        <v>51</v>
      </c>
      <c r="L727" s="10" t="s">
        <v>60</v>
      </c>
      <c r="M727" s="10" t="s">
        <v>25</v>
      </c>
      <c r="N727" s="10">
        <v>5</v>
      </c>
      <c r="O727" s="10">
        <v>46046</v>
      </c>
      <c r="P727" s="10">
        <v>207207</v>
      </c>
      <c r="Q727" s="12">
        <v>47379.41</v>
      </c>
      <c r="R727" s="17">
        <f t="shared" si="11"/>
        <v>0.22865738126607693</v>
      </c>
    </row>
    <row r="728" spans="2:18" x14ac:dyDescent="0.3">
      <c r="B728" s="20" t="s">
        <v>1504</v>
      </c>
      <c r="C728" s="8">
        <v>45438</v>
      </c>
      <c r="D728" s="7" t="s">
        <v>1505</v>
      </c>
      <c r="E728" s="7" t="s">
        <v>59</v>
      </c>
      <c r="F728" s="7" t="s">
        <v>19</v>
      </c>
      <c r="G728" s="7">
        <v>41</v>
      </c>
      <c r="H728" s="7" t="s">
        <v>56</v>
      </c>
      <c r="I728" s="7" t="s">
        <v>39</v>
      </c>
      <c r="J728" s="7" t="s">
        <v>22</v>
      </c>
      <c r="K728" s="7" t="s">
        <v>23</v>
      </c>
      <c r="L728" s="7" t="s">
        <v>60</v>
      </c>
      <c r="M728" s="7" t="s">
        <v>41</v>
      </c>
      <c r="N728" s="7">
        <v>2</v>
      </c>
      <c r="O728" s="7">
        <v>36749</v>
      </c>
      <c r="P728" s="7">
        <v>73498</v>
      </c>
      <c r="Q728" s="9">
        <v>25843.93</v>
      </c>
      <c r="R728" s="17">
        <f t="shared" si="11"/>
        <v>0.3516276633377779</v>
      </c>
    </row>
    <row r="729" spans="2:18" x14ac:dyDescent="0.3">
      <c r="B729" s="21" t="s">
        <v>1506</v>
      </c>
      <c r="C729" s="11">
        <v>45374</v>
      </c>
      <c r="D729" s="10" t="s">
        <v>1507</v>
      </c>
      <c r="E729" s="10" t="s">
        <v>76</v>
      </c>
      <c r="F729" s="10" t="s">
        <v>37</v>
      </c>
      <c r="G729" s="10">
        <v>30</v>
      </c>
      <c r="H729" s="10" t="s">
        <v>45</v>
      </c>
      <c r="I729" s="10" t="s">
        <v>21</v>
      </c>
      <c r="J729" s="10" t="s">
        <v>30</v>
      </c>
      <c r="K729" s="10" t="s">
        <v>69</v>
      </c>
      <c r="L729" s="10" t="s">
        <v>80</v>
      </c>
      <c r="M729" s="10" t="s">
        <v>33</v>
      </c>
      <c r="N729" s="10">
        <v>4</v>
      </c>
      <c r="O729" s="10">
        <v>9779</v>
      </c>
      <c r="P729" s="10">
        <v>31292.799999999999</v>
      </c>
      <c r="Q729" s="12">
        <v>10801.53</v>
      </c>
      <c r="R729" s="17">
        <f t="shared" si="11"/>
        <v>0.34517620666734844</v>
      </c>
    </row>
    <row r="730" spans="2:18" x14ac:dyDescent="0.3">
      <c r="B730" s="20" t="s">
        <v>1508</v>
      </c>
      <c r="C730" s="8">
        <v>45331</v>
      </c>
      <c r="D730" s="7" t="s">
        <v>1509</v>
      </c>
      <c r="E730" s="7" t="s">
        <v>79</v>
      </c>
      <c r="F730" s="7" t="s">
        <v>19</v>
      </c>
      <c r="G730" s="7">
        <v>35</v>
      </c>
      <c r="H730" s="7" t="s">
        <v>38</v>
      </c>
      <c r="I730" s="7" t="s">
        <v>46</v>
      </c>
      <c r="J730" s="7" t="s">
        <v>22</v>
      </c>
      <c r="K730" s="7" t="s">
        <v>69</v>
      </c>
      <c r="L730" s="7" t="s">
        <v>60</v>
      </c>
      <c r="M730" s="7" t="s">
        <v>33</v>
      </c>
      <c r="N730" s="7">
        <v>5</v>
      </c>
      <c r="O730" s="7">
        <v>45903</v>
      </c>
      <c r="P730" s="7">
        <v>206563.5</v>
      </c>
      <c r="Q730" s="9">
        <v>40286.449999999997</v>
      </c>
      <c r="R730" s="17">
        <f t="shared" si="11"/>
        <v>0.19503179409721463</v>
      </c>
    </row>
    <row r="731" spans="2:18" x14ac:dyDescent="0.3">
      <c r="B731" s="21" t="s">
        <v>1510</v>
      </c>
      <c r="C731" s="11">
        <v>45611</v>
      </c>
      <c r="D731" s="10" t="s">
        <v>1511</v>
      </c>
      <c r="E731" s="10" t="s">
        <v>44</v>
      </c>
      <c r="F731" s="10" t="s">
        <v>37</v>
      </c>
      <c r="G731" s="10">
        <v>21</v>
      </c>
      <c r="H731" s="10" t="s">
        <v>20</v>
      </c>
      <c r="I731" s="10" t="s">
        <v>39</v>
      </c>
      <c r="J731" s="10" t="s">
        <v>22</v>
      </c>
      <c r="K731" s="10" t="s">
        <v>31</v>
      </c>
      <c r="L731" s="10" t="s">
        <v>47</v>
      </c>
      <c r="M731" s="10" t="s">
        <v>25</v>
      </c>
      <c r="N731" s="10">
        <v>5</v>
      </c>
      <c r="O731" s="10">
        <v>6342</v>
      </c>
      <c r="P731" s="10">
        <v>30124.5</v>
      </c>
      <c r="Q731" s="12">
        <v>11679.11</v>
      </c>
      <c r="R731" s="17">
        <f t="shared" si="11"/>
        <v>0.38769473352254813</v>
      </c>
    </row>
    <row r="732" spans="2:18" x14ac:dyDescent="0.3">
      <c r="B732" s="20" t="s">
        <v>1512</v>
      </c>
      <c r="C732" s="8">
        <v>45620</v>
      </c>
      <c r="D732" s="7" t="s">
        <v>1513</v>
      </c>
      <c r="E732" s="7" t="s">
        <v>59</v>
      </c>
      <c r="F732" s="7" t="s">
        <v>37</v>
      </c>
      <c r="G732" s="7">
        <v>33</v>
      </c>
      <c r="H732" s="7" t="s">
        <v>45</v>
      </c>
      <c r="I732" s="7" t="s">
        <v>21</v>
      </c>
      <c r="J732" s="7" t="s">
        <v>50</v>
      </c>
      <c r="K732" s="7" t="s">
        <v>51</v>
      </c>
      <c r="L732" s="7" t="s">
        <v>60</v>
      </c>
      <c r="M732" s="7" t="s">
        <v>25</v>
      </c>
      <c r="N732" s="7">
        <v>1</v>
      </c>
      <c r="O732" s="7">
        <v>23754</v>
      </c>
      <c r="P732" s="7">
        <v>20190.900000000001</v>
      </c>
      <c r="Q732" s="9">
        <v>4929.2</v>
      </c>
      <c r="R732" s="17">
        <f t="shared" si="11"/>
        <v>0.24412978123808249</v>
      </c>
    </row>
    <row r="733" spans="2:18" x14ac:dyDescent="0.3">
      <c r="B733" s="21" t="s">
        <v>1514</v>
      </c>
      <c r="C733" s="11">
        <v>45460</v>
      </c>
      <c r="D733" s="10" t="s">
        <v>1515</v>
      </c>
      <c r="E733" s="10" t="s">
        <v>93</v>
      </c>
      <c r="F733" s="10" t="s">
        <v>19</v>
      </c>
      <c r="G733" s="10">
        <v>34</v>
      </c>
      <c r="H733" s="10" t="s">
        <v>56</v>
      </c>
      <c r="I733" s="10" t="s">
        <v>21</v>
      </c>
      <c r="J733" s="10" t="s">
        <v>22</v>
      </c>
      <c r="K733" s="10" t="s">
        <v>31</v>
      </c>
      <c r="L733" s="10" t="s">
        <v>32</v>
      </c>
      <c r="M733" s="10" t="s">
        <v>41</v>
      </c>
      <c r="N733" s="10">
        <v>1</v>
      </c>
      <c r="O733" s="10">
        <v>44080</v>
      </c>
      <c r="P733" s="10">
        <v>39672</v>
      </c>
      <c r="Q733" s="12">
        <v>8514.51</v>
      </c>
      <c r="R733" s="17">
        <f t="shared" si="11"/>
        <v>0.21462265577737447</v>
      </c>
    </row>
    <row r="734" spans="2:18" x14ac:dyDescent="0.3">
      <c r="B734" s="20" t="s">
        <v>1516</v>
      </c>
      <c r="C734" s="8">
        <v>45325</v>
      </c>
      <c r="D734" s="7" t="s">
        <v>1517</v>
      </c>
      <c r="E734" s="7" t="s">
        <v>55</v>
      </c>
      <c r="F734" s="7" t="s">
        <v>19</v>
      </c>
      <c r="G734" s="7">
        <v>18</v>
      </c>
      <c r="H734" s="7" t="s">
        <v>38</v>
      </c>
      <c r="I734" s="7" t="s">
        <v>21</v>
      </c>
      <c r="J734" s="7" t="s">
        <v>50</v>
      </c>
      <c r="K734" s="7" t="s">
        <v>31</v>
      </c>
      <c r="L734" s="7" t="s">
        <v>60</v>
      </c>
      <c r="M734" s="7" t="s">
        <v>33</v>
      </c>
      <c r="N734" s="7">
        <v>5</v>
      </c>
      <c r="O734" s="7">
        <v>11303</v>
      </c>
      <c r="P734" s="7">
        <v>56515</v>
      </c>
      <c r="Q734" s="9">
        <v>15321.93</v>
      </c>
      <c r="R734" s="17">
        <f t="shared" si="11"/>
        <v>0.27111262496682298</v>
      </c>
    </row>
    <row r="735" spans="2:18" x14ac:dyDescent="0.3">
      <c r="B735" s="21" t="s">
        <v>1518</v>
      </c>
      <c r="C735" s="11">
        <v>45393</v>
      </c>
      <c r="D735" s="10" t="s">
        <v>1519</v>
      </c>
      <c r="E735" s="10" t="s">
        <v>59</v>
      </c>
      <c r="F735" s="10" t="s">
        <v>19</v>
      </c>
      <c r="G735" s="10">
        <v>22</v>
      </c>
      <c r="H735" s="10" t="s">
        <v>45</v>
      </c>
      <c r="I735" s="10" t="s">
        <v>39</v>
      </c>
      <c r="J735" s="10" t="s">
        <v>50</v>
      </c>
      <c r="K735" s="10" t="s">
        <v>69</v>
      </c>
      <c r="L735" s="10" t="s">
        <v>80</v>
      </c>
      <c r="M735" s="10" t="s">
        <v>52</v>
      </c>
      <c r="N735" s="10">
        <v>3</v>
      </c>
      <c r="O735" s="10">
        <v>27460</v>
      </c>
      <c r="P735" s="10">
        <v>70023</v>
      </c>
      <c r="Q735" s="12">
        <v>26499.69</v>
      </c>
      <c r="R735" s="17">
        <f t="shared" si="11"/>
        <v>0.37844265455636006</v>
      </c>
    </row>
    <row r="736" spans="2:18" x14ac:dyDescent="0.3">
      <c r="B736" s="20" t="s">
        <v>1520</v>
      </c>
      <c r="C736" s="8">
        <v>45382</v>
      </c>
      <c r="D736" s="7" t="s">
        <v>1521</v>
      </c>
      <c r="E736" s="7" t="s">
        <v>36</v>
      </c>
      <c r="F736" s="7" t="s">
        <v>37</v>
      </c>
      <c r="G736" s="7">
        <v>49</v>
      </c>
      <c r="H736" s="7" t="s">
        <v>29</v>
      </c>
      <c r="I736" s="7" t="s">
        <v>46</v>
      </c>
      <c r="J736" s="7" t="s">
        <v>50</v>
      </c>
      <c r="K736" s="7" t="s">
        <v>23</v>
      </c>
      <c r="L736" s="7" t="s">
        <v>24</v>
      </c>
      <c r="M736" s="7" t="s">
        <v>52</v>
      </c>
      <c r="N736" s="7">
        <v>1</v>
      </c>
      <c r="O736" s="7">
        <v>32187</v>
      </c>
      <c r="P736" s="7">
        <v>32187</v>
      </c>
      <c r="Q736" s="9">
        <v>12653.32</v>
      </c>
      <c r="R736" s="17">
        <f t="shared" si="11"/>
        <v>0.39311896107123995</v>
      </c>
    </row>
    <row r="737" spans="2:18" x14ac:dyDescent="0.3">
      <c r="B737" s="21" t="s">
        <v>1522</v>
      </c>
      <c r="C737" s="11">
        <v>45379</v>
      </c>
      <c r="D737" s="10" t="s">
        <v>1523</v>
      </c>
      <c r="E737" s="10" t="s">
        <v>44</v>
      </c>
      <c r="F737" s="10" t="s">
        <v>37</v>
      </c>
      <c r="G737" s="10">
        <v>21</v>
      </c>
      <c r="H737" s="10" t="s">
        <v>20</v>
      </c>
      <c r="I737" s="10" t="s">
        <v>21</v>
      </c>
      <c r="J737" s="10" t="s">
        <v>22</v>
      </c>
      <c r="K737" s="10" t="s">
        <v>23</v>
      </c>
      <c r="L737" s="10" t="s">
        <v>60</v>
      </c>
      <c r="M737" s="10" t="s">
        <v>52</v>
      </c>
      <c r="N737" s="10">
        <v>2</v>
      </c>
      <c r="O737" s="10">
        <v>48199</v>
      </c>
      <c r="P737" s="10">
        <v>77118.399999999994</v>
      </c>
      <c r="Q737" s="12">
        <v>15797.05</v>
      </c>
      <c r="R737" s="17">
        <f t="shared" si="11"/>
        <v>0.20484151642150253</v>
      </c>
    </row>
    <row r="738" spans="2:18" x14ac:dyDescent="0.3">
      <c r="B738" s="20" t="s">
        <v>1524</v>
      </c>
      <c r="C738" s="8">
        <v>45496</v>
      </c>
      <c r="D738" s="7" t="s">
        <v>1525</v>
      </c>
      <c r="E738" s="7" t="s">
        <v>79</v>
      </c>
      <c r="F738" s="7" t="s">
        <v>37</v>
      </c>
      <c r="G738" s="7">
        <v>45</v>
      </c>
      <c r="H738" s="7" t="s">
        <v>45</v>
      </c>
      <c r="I738" s="7" t="s">
        <v>39</v>
      </c>
      <c r="J738" s="7" t="s">
        <v>22</v>
      </c>
      <c r="K738" s="7" t="s">
        <v>23</v>
      </c>
      <c r="L738" s="7" t="s">
        <v>60</v>
      </c>
      <c r="M738" s="7" t="s">
        <v>52</v>
      </c>
      <c r="N738" s="7">
        <v>2</v>
      </c>
      <c r="O738" s="7">
        <v>47299</v>
      </c>
      <c r="P738" s="7">
        <v>85138.2</v>
      </c>
      <c r="Q738" s="9">
        <v>17401.66</v>
      </c>
      <c r="R738" s="17">
        <f t="shared" si="11"/>
        <v>0.20439309264231567</v>
      </c>
    </row>
    <row r="739" spans="2:18" x14ac:dyDescent="0.3">
      <c r="B739" s="21" t="s">
        <v>1526</v>
      </c>
      <c r="C739" s="11">
        <v>45522</v>
      </c>
      <c r="D739" s="10" t="s">
        <v>1527</v>
      </c>
      <c r="E739" s="10" t="s">
        <v>44</v>
      </c>
      <c r="F739" s="10" t="s">
        <v>37</v>
      </c>
      <c r="G739" s="10">
        <v>45</v>
      </c>
      <c r="H739" s="10" t="s">
        <v>45</v>
      </c>
      <c r="I739" s="10" t="s">
        <v>46</v>
      </c>
      <c r="J739" s="10" t="s">
        <v>50</v>
      </c>
      <c r="K739" s="10" t="s">
        <v>69</v>
      </c>
      <c r="L739" s="10" t="s">
        <v>47</v>
      </c>
      <c r="M739" s="10" t="s">
        <v>41</v>
      </c>
      <c r="N739" s="10">
        <v>4</v>
      </c>
      <c r="O739" s="10">
        <v>8388</v>
      </c>
      <c r="P739" s="10">
        <v>31874.400000000001</v>
      </c>
      <c r="Q739" s="12">
        <v>5936.77</v>
      </c>
      <c r="R739" s="17">
        <f t="shared" si="11"/>
        <v>0.18625511382175036</v>
      </c>
    </row>
    <row r="740" spans="2:18" x14ac:dyDescent="0.3">
      <c r="B740" s="20" t="s">
        <v>1528</v>
      </c>
      <c r="C740" s="8">
        <v>45547</v>
      </c>
      <c r="D740" s="7" t="s">
        <v>1529</v>
      </c>
      <c r="E740" s="7" t="s">
        <v>55</v>
      </c>
      <c r="F740" s="7" t="s">
        <v>19</v>
      </c>
      <c r="G740" s="7">
        <v>57</v>
      </c>
      <c r="H740" s="7" t="s">
        <v>66</v>
      </c>
      <c r="I740" s="7" t="s">
        <v>21</v>
      </c>
      <c r="J740" s="7" t="s">
        <v>22</v>
      </c>
      <c r="K740" s="7" t="s">
        <v>23</v>
      </c>
      <c r="L740" s="7" t="s">
        <v>24</v>
      </c>
      <c r="M740" s="7" t="s">
        <v>41</v>
      </c>
      <c r="N740" s="7">
        <v>5</v>
      </c>
      <c r="O740" s="7">
        <v>48151</v>
      </c>
      <c r="P740" s="7">
        <v>216679.5</v>
      </c>
      <c r="Q740" s="9">
        <v>53405.33</v>
      </c>
      <c r="R740" s="17">
        <f t="shared" si="11"/>
        <v>0.24647153976264483</v>
      </c>
    </row>
    <row r="741" spans="2:18" x14ac:dyDescent="0.3">
      <c r="B741" s="21" t="s">
        <v>1530</v>
      </c>
      <c r="C741" s="11">
        <v>45427</v>
      </c>
      <c r="D741" s="10" t="s">
        <v>1531</v>
      </c>
      <c r="E741" s="10" t="s">
        <v>44</v>
      </c>
      <c r="F741" s="10" t="s">
        <v>19</v>
      </c>
      <c r="G741" s="10">
        <v>46</v>
      </c>
      <c r="H741" s="10" t="s">
        <v>56</v>
      </c>
      <c r="I741" s="10" t="s">
        <v>21</v>
      </c>
      <c r="J741" s="10" t="s">
        <v>22</v>
      </c>
      <c r="K741" s="10" t="s">
        <v>40</v>
      </c>
      <c r="L741" s="10" t="s">
        <v>80</v>
      </c>
      <c r="M741" s="10" t="s">
        <v>25</v>
      </c>
      <c r="N741" s="10">
        <v>4</v>
      </c>
      <c r="O741" s="10">
        <v>43710</v>
      </c>
      <c r="P741" s="10">
        <v>157356</v>
      </c>
      <c r="Q741" s="12">
        <v>54725.68</v>
      </c>
      <c r="R741" s="17">
        <f t="shared" si="11"/>
        <v>0.34778260759043189</v>
      </c>
    </row>
    <row r="742" spans="2:18" x14ac:dyDescent="0.3">
      <c r="B742" s="20" t="s">
        <v>1532</v>
      </c>
      <c r="C742" s="8">
        <v>45531</v>
      </c>
      <c r="D742" s="7" t="s">
        <v>1533</v>
      </c>
      <c r="E742" s="7" t="s">
        <v>36</v>
      </c>
      <c r="F742" s="7" t="s">
        <v>37</v>
      </c>
      <c r="G742" s="7">
        <v>51</v>
      </c>
      <c r="H742" s="7" t="s">
        <v>20</v>
      </c>
      <c r="I742" s="7" t="s">
        <v>21</v>
      </c>
      <c r="J742" s="7" t="s">
        <v>50</v>
      </c>
      <c r="K742" s="7" t="s">
        <v>31</v>
      </c>
      <c r="L742" s="7" t="s">
        <v>32</v>
      </c>
      <c r="M742" s="7" t="s">
        <v>33</v>
      </c>
      <c r="N742" s="7">
        <v>4</v>
      </c>
      <c r="O742" s="7">
        <v>42264</v>
      </c>
      <c r="P742" s="7">
        <v>160603.20000000001</v>
      </c>
      <c r="Q742" s="9">
        <v>52246.3</v>
      </c>
      <c r="R742" s="17">
        <f t="shared" si="11"/>
        <v>0.3253129451966088</v>
      </c>
    </row>
    <row r="743" spans="2:18" x14ac:dyDescent="0.3">
      <c r="B743" s="21" t="s">
        <v>1534</v>
      </c>
      <c r="C743" s="11">
        <v>45591</v>
      </c>
      <c r="D743" s="10" t="s">
        <v>1535</v>
      </c>
      <c r="E743" s="10" t="s">
        <v>55</v>
      </c>
      <c r="F743" s="10" t="s">
        <v>37</v>
      </c>
      <c r="G743" s="10">
        <v>44</v>
      </c>
      <c r="H743" s="10" t="s">
        <v>20</v>
      </c>
      <c r="I743" s="10" t="s">
        <v>21</v>
      </c>
      <c r="J743" s="10" t="s">
        <v>50</v>
      </c>
      <c r="K743" s="10" t="s">
        <v>69</v>
      </c>
      <c r="L743" s="10" t="s">
        <v>32</v>
      </c>
      <c r="M743" s="10" t="s">
        <v>25</v>
      </c>
      <c r="N743" s="10">
        <v>4</v>
      </c>
      <c r="O743" s="10">
        <v>7786</v>
      </c>
      <c r="P743" s="10">
        <v>31144</v>
      </c>
      <c r="Q743" s="12">
        <v>6511.22</v>
      </c>
      <c r="R743" s="17">
        <f t="shared" si="11"/>
        <v>0.20906819933213461</v>
      </c>
    </row>
    <row r="744" spans="2:18" x14ac:dyDescent="0.3">
      <c r="B744" s="20" t="s">
        <v>1536</v>
      </c>
      <c r="C744" s="8">
        <v>45469</v>
      </c>
      <c r="D744" s="7" t="s">
        <v>1537</v>
      </c>
      <c r="E744" s="7" t="s">
        <v>44</v>
      </c>
      <c r="F744" s="7" t="s">
        <v>19</v>
      </c>
      <c r="G744" s="7">
        <v>43</v>
      </c>
      <c r="H744" s="7" t="s">
        <v>66</v>
      </c>
      <c r="I744" s="7" t="s">
        <v>46</v>
      </c>
      <c r="J744" s="7" t="s">
        <v>30</v>
      </c>
      <c r="K744" s="7" t="s">
        <v>31</v>
      </c>
      <c r="L744" s="7" t="s">
        <v>60</v>
      </c>
      <c r="M744" s="7" t="s">
        <v>52</v>
      </c>
      <c r="N744" s="7">
        <v>5</v>
      </c>
      <c r="O744" s="7">
        <v>45333</v>
      </c>
      <c r="P744" s="7">
        <v>203998.5</v>
      </c>
      <c r="Q744" s="9">
        <v>57282.14</v>
      </c>
      <c r="R744" s="17">
        <f t="shared" si="11"/>
        <v>0.28079686860442599</v>
      </c>
    </row>
    <row r="745" spans="2:18" x14ac:dyDescent="0.3">
      <c r="B745" s="21" t="s">
        <v>1538</v>
      </c>
      <c r="C745" s="11">
        <v>45574</v>
      </c>
      <c r="D745" s="10" t="s">
        <v>1539</v>
      </c>
      <c r="E745" s="10" t="s">
        <v>18</v>
      </c>
      <c r="F745" s="10" t="s">
        <v>19</v>
      </c>
      <c r="G745" s="10">
        <v>32</v>
      </c>
      <c r="H745" s="10" t="s">
        <v>29</v>
      </c>
      <c r="I745" s="10" t="s">
        <v>39</v>
      </c>
      <c r="J745" s="10" t="s">
        <v>50</v>
      </c>
      <c r="K745" s="10" t="s">
        <v>51</v>
      </c>
      <c r="L745" s="10" t="s">
        <v>24</v>
      </c>
      <c r="M745" s="10" t="s">
        <v>25</v>
      </c>
      <c r="N745" s="10">
        <v>2</v>
      </c>
      <c r="O745" s="10">
        <v>2538</v>
      </c>
      <c r="P745" s="10">
        <v>4822.2</v>
      </c>
      <c r="Q745" s="12">
        <v>1460.87</v>
      </c>
      <c r="R745" s="17">
        <f t="shared" si="11"/>
        <v>0.30294678777321554</v>
      </c>
    </row>
    <row r="746" spans="2:18" x14ac:dyDescent="0.3">
      <c r="B746" s="20" t="s">
        <v>1540</v>
      </c>
      <c r="C746" s="8">
        <v>45516</v>
      </c>
      <c r="D746" s="7" t="s">
        <v>1541</v>
      </c>
      <c r="E746" s="7" t="s">
        <v>65</v>
      </c>
      <c r="F746" s="7" t="s">
        <v>37</v>
      </c>
      <c r="G746" s="7">
        <v>23</v>
      </c>
      <c r="H746" s="7" t="s">
        <v>66</v>
      </c>
      <c r="I746" s="7" t="s">
        <v>39</v>
      </c>
      <c r="J746" s="7" t="s">
        <v>30</v>
      </c>
      <c r="K746" s="7" t="s">
        <v>40</v>
      </c>
      <c r="L746" s="7" t="s">
        <v>80</v>
      </c>
      <c r="M746" s="7" t="s">
        <v>52</v>
      </c>
      <c r="N746" s="7">
        <v>4</v>
      </c>
      <c r="O746" s="7">
        <v>39931</v>
      </c>
      <c r="P746" s="7">
        <v>135765.4</v>
      </c>
      <c r="Q746" s="9">
        <v>37232.120000000003</v>
      </c>
      <c r="R746" s="17">
        <f t="shared" si="11"/>
        <v>0.27423864990638264</v>
      </c>
    </row>
    <row r="747" spans="2:18" x14ac:dyDescent="0.3">
      <c r="B747" s="21" t="s">
        <v>1542</v>
      </c>
      <c r="C747" s="11">
        <v>45657</v>
      </c>
      <c r="D747" s="10" t="s">
        <v>1543</v>
      </c>
      <c r="E747" s="10" t="s">
        <v>59</v>
      </c>
      <c r="F747" s="10" t="s">
        <v>19</v>
      </c>
      <c r="G747" s="10">
        <v>32</v>
      </c>
      <c r="H747" s="10" t="s">
        <v>20</v>
      </c>
      <c r="I747" s="10" t="s">
        <v>46</v>
      </c>
      <c r="J747" s="10" t="s">
        <v>22</v>
      </c>
      <c r="K747" s="10" t="s">
        <v>31</v>
      </c>
      <c r="L747" s="10" t="s">
        <v>32</v>
      </c>
      <c r="M747" s="10" t="s">
        <v>25</v>
      </c>
      <c r="N747" s="10">
        <v>1</v>
      </c>
      <c r="O747" s="10">
        <v>26061</v>
      </c>
      <c r="P747" s="10">
        <v>22151.85</v>
      </c>
      <c r="Q747" s="12">
        <v>4170.57</v>
      </c>
      <c r="R747" s="17">
        <f t="shared" si="11"/>
        <v>0.18827185991237752</v>
      </c>
    </row>
    <row r="748" spans="2:18" x14ac:dyDescent="0.3">
      <c r="B748" s="20" t="s">
        <v>1544</v>
      </c>
      <c r="C748" s="8">
        <v>45642</v>
      </c>
      <c r="D748" s="7" t="s">
        <v>1545</v>
      </c>
      <c r="E748" s="7" t="s">
        <v>59</v>
      </c>
      <c r="F748" s="7" t="s">
        <v>19</v>
      </c>
      <c r="G748" s="7">
        <v>30</v>
      </c>
      <c r="H748" s="7" t="s">
        <v>56</v>
      </c>
      <c r="I748" s="7" t="s">
        <v>46</v>
      </c>
      <c r="J748" s="7" t="s">
        <v>50</v>
      </c>
      <c r="K748" s="7" t="s">
        <v>51</v>
      </c>
      <c r="L748" s="7" t="s">
        <v>80</v>
      </c>
      <c r="M748" s="7" t="s">
        <v>52</v>
      </c>
      <c r="N748" s="7">
        <v>3</v>
      </c>
      <c r="O748" s="7">
        <v>32454</v>
      </c>
      <c r="P748" s="7">
        <v>87625.8</v>
      </c>
      <c r="Q748" s="9">
        <v>21158.94</v>
      </c>
      <c r="R748" s="17">
        <f t="shared" si="11"/>
        <v>0.24146929329033229</v>
      </c>
    </row>
    <row r="749" spans="2:18" x14ac:dyDescent="0.3">
      <c r="B749" s="21" t="s">
        <v>1546</v>
      </c>
      <c r="C749" s="11">
        <v>45335</v>
      </c>
      <c r="D749" s="10" t="s">
        <v>1547</v>
      </c>
      <c r="E749" s="10" t="s">
        <v>55</v>
      </c>
      <c r="F749" s="10" t="s">
        <v>19</v>
      </c>
      <c r="G749" s="10">
        <v>30</v>
      </c>
      <c r="H749" s="10" t="s">
        <v>20</v>
      </c>
      <c r="I749" s="10" t="s">
        <v>39</v>
      </c>
      <c r="J749" s="10" t="s">
        <v>30</v>
      </c>
      <c r="K749" s="10" t="s">
        <v>69</v>
      </c>
      <c r="L749" s="10" t="s">
        <v>47</v>
      </c>
      <c r="M749" s="10" t="s">
        <v>33</v>
      </c>
      <c r="N749" s="10">
        <v>2</v>
      </c>
      <c r="O749" s="10">
        <v>14166</v>
      </c>
      <c r="P749" s="10">
        <v>24082.2</v>
      </c>
      <c r="Q749" s="12">
        <v>5830.96</v>
      </c>
      <c r="R749" s="17">
        <f t="shared" si="11"/>
        <v>0.24212738038883491</v>
      </c>
    </row>
    <row r="750" spans="2:18" x14ac:dyDescent="0.3">
      <c r="B750" s="20" t="s">
        <v>1548</v>
      </c>
      <c r="C750" s="8">
        <v>45323</v>
      </c>
      <c r="D750" s="7" t="s">
        <v>1549</v>
      </c>
      <c r="E750" s="7" t="s">
        <v>28</v>
      </c>
      <c r="F750" s="7" t="s">
        <v>37</v>
      </c>
      <c r="G750" s="7">
        <v>43</v>
      </c>
      <c r="H750" s="7" t="s">
        <v>45</v>
      </c>
      <c r="I750" s="7" t="s">
        <v>46</v>
      </c>
      <c r="J750" s="7" t="s">
        <v>30</v>
      </c>
      <c r="K750" s="7" t="s">
        <v>69</v>
      </c>
      <c r="L750" s="7" t="s">
        <v>80</v>
      </c>
      <c r="M750" s="7" t="s">
        <v>33</v>
      </c>
      <c r="N750" s="7">
        <v>4</v>
      </c>
      <c r="O750" s="7">
        <v>48381</v>
      </c>
      <c r="P750" s="7">
        <v>154819.20000000001</v>
      </c>
      <c r="Q750" s="9">
        <v>33162.97</v>
      </c>
      <c r="R750" s="17">
        <f t="shared" si="11"/>
        <v>0.21420450435088154</v>
      </c>
    </row>
    <row r="751" spans="2:18" x14ac:dyDescent="0.3">
      <c r="B751" s="21" t="s">
        <v>1550</v>
      </c>
      <c r="C751" s="11">
        <v>45399</v>
      </c>
      <c r="D751" s="10" t="s">
        <v>1551</v>
      </c>
      <c r="E751" s="10" t="s">
        <v>55</v>
      </c>
      <c r="F751" s="10" t="s">
        <v>19</v>
      </c>
      <c r="G751" s="10">
        <v>55</v>
      </c>
      <c r="H751" s="10" t="s">
        <v>66</v>
      </c>
      <c r="I751" s="10" t="s">
        <v>21</v>
      </c>
      <c r="J751" s="10" t="s">
        <v>50</v>
      </c>
      <c r="K751" s="10" t="s">
        <v>69</v>
      </c>
      <c r="L751" s="10" t="s">
        <v>60</v>
      </c>
      <c r="M751" s="10" t="s">
        <v>33</v>
      </c>
      <c r="N751" s="10">
        <v>2</v>
      </c>
      <c r="O751" s="10">
        <v>33969</v>
      </c>
      <c r="P751" s="10">
        <v>57747.3</v>
      </c>
      <c r="Q751" s="12">
        <v>23003.55</v>
      </c>
      <c r="R751" s="17">
        <f t="shared" si="11"/>
        <v>0.39834849421531393</v>
      </c>
    </row>
    <row r="752" spans="2:18" x14ac:dyDescent="0.3">
      <c r="B752" s="20" t="s">
        <v>1552</v>
      </c>
      <c r="C752" s="8">
        <v>45474</v>
      </c>
      <c r="D752" s="7" t="s">
        <v>1553</v>
      </c>
      <c r="E752" s="7" t="s">
        <v>28</v>
      </c>
      <c r="F752" s="7" t="s">
        <v>19</v>
      </c>
      <c r="G752" s="7">
        <v>48</v>
      </c>
      <c r="H752" s="7" t="s">
        <v>56</v>
      </c>
      <c r="I752" s="7" t="s">
        <v>21</v>
      </c>
      <c r="J752" s="7" t="s">
        <v>30</v>
      </c>
      <c r="K752" s="7" t="s">
        <v>69</v>
      </c>
      <c r="L752" s="7" t="s">
        <v>24</v>
      </c>
      <c r="M752" s="7" t="s">
        <v>25</v>
      </c>
      <c r="N752" s="7">
        <v>4</v>
      </c>
      <c r="O752" s="7">
        <v>16678</v>
      </c>
      <c r="P752" s="7">
        <v>66712</v>
      </c>
      <c r="Q752" s="9">
        <v>22403.83</v>
      </c>
      <c r="R752" s="17">
        <f t="shared" si="11"/>
        <v>0.33582908622136948</v>
      </c>
    </row>
    <row r="753" spans="2:18" x14ac:dyDescent="0.3">
      <c r="B753" s="21" t="s">
        <v>1554</v>
      </c>
      <c r="C753" s="11">
        <v>45500</v>
      </c>
      <c r="D753" s="10" t="s">
        <v>1555</v>
      </c>
      <c r="E753" s="10" t="s">
        <v>44</v>
      </c>
      <c r="F753" s="10" t="s">
        <v>37</v>
      </c>
      <c r="G753" s="10">
        <v>42</v>
      </c>
      <c r="H753" s="10" t="s">
        <v>20</v>
      </c>
      <c r="I753" s="10" t="s">
        <v>21</v>
      </c>
      <c r="J753" s="10" t="s">
        <v>50</v>
      </c>
      <c r="K753" s="10" t="s">
        <v>40</v>
      </c>
      <c r="L753" s="10" t="s">
        <v>24</v>
      </c>
      <c r="M753" s="10" t="s">
        <v>41</v>
      </c>
      <c r="N753" s="10">
        <v>3</v>
      </c>
      <c r="O753" s="10">
        <v>40286</v>
      </c>
      <c r="P753" s="10">
        <v>96686.399999999994</v>
      </c>
      <c r="Q753" s="12">
        <v>22342</v>
      </c>
      <c r="R753" s="17">
        <f t="shared" si="11"/>
        <v>0.23107696635721262</v>
      </c>
    </row>
    <row r="754" spans="2:18" x14ac:dyDescent="0.3">
      <c r="B754" s="20" t="s">
        <v>1556</v>
      </c>
      <c r="C754" s="8">
        <v>45382</v>
      </c>
      <c r="D754" s="7" t="s">
        <v>1557</v>
      </c>
      <c r="E754" s="7" t="s">
        <v>44</v>
      </c>
      <c r="F754" s="7" t="s">
        <v>37</v>
      </c>
      <c r="G754" s="7">
        <v>57</v>
      </c>
      <c r="H754" s="7" t="s">
        <v>38</v>
      </c>
      <c r="I754" s="7" t="s">
        <v>46</v>
      </c>
      <c r="J754" s="7" t="s">
        <v>22</v>
      </c>
      <c r="K754" s="7" t="s">
        <v>31</v>
      </c>
      <c r="L754" s="7" t="s">
        <v>24</v>
      </c>
      <c r="M754" s="7" t="s">
        <v>52</v>
      </c>
      <c r="N754" s="7">
        <v>5</v>
      </c>
      <c r="O754" s="7">
        <v>45550</v>
      </c>
      <c r="P754" s="7">
        <v>227750</v>
      </c>
      <c r="Q754" s="9">
        <v>65524.49</v>
      </c>
      <c r="R754" s="17">
        <f t="shared" si="11"/>
        <v>0.28770357848518113</v>
      </c>
    </row>
    <row r="755" spans="2:18" x14ac:dyDescent="0.3">
      <c r="B755" s="21" t="s">
        <v>1558</v>
      </c>
      <c r="C755" s="11">
        <v>45318</v>
      </c>
      <c r="D755" s="10" t="s">
        <v>1559</v>
      </c>
      <c r="E755" s="10" t="s">
        <v>28</v>
      </c>
      <c r="F755" s="10" t="s">
        <v>19</v>
      </c>
      <c r="G755" s="10">
        <v>18</v>
      </c>
      <c r="H755" s="10" t="s">
        <v>20</v>
      </c>
      <c r="I755" s="10" t="s">
        <v>21</v>
      </c>
      <c r="J755" s="10" t="s">
        <v>30</v>
      </c>
      <c r="K755" s="10" t="s">
        <v>69</v>
      </c>
      <c r="L755" s="10" t="s">
        <v>32</v>
      </c>
      <c r="M755" s="10" t="s">
        <v>33</v>
      </c>
      <c r="N755" s="10">
        <v>3</v>
      </c>
      <c r="O755" s="10">
        <v>36936</v>
      </c>
      <c r="P755" s="10">
        <v>110808</v>
      </c>
      <c r="Q755" s="12">
        <v>37845.019999999997</v>
      </c>
      <c r="R755" s="17">
        <f t="shared" si="11"/>
        <v>0.34153689264313042</v>
      </c>
    </row>
    <row r="756" spans="2:18" x14ac:dyDescent="0.3">
      <c r="B756" s="20" t="s">
        <v>1560</v>
      </c>
      <c r="C756" s="8">
        <v>45408</v>
      </c>
      <c r="D756" s="7" t="s">
        <v>1561</v>
      </c>
      <c r="E756" s="7" t="s">
        <v>28</v>
      </c>
      <c r="F756" s="7" t="s">
        <v>37</v>
      </c>
      <c r="G756" s="7">
        <v>45</v>
      </c>
      <c r="H756" s="7" t="s">
        <v>45</v>
      </c>
      <c r="I756" s="7" t="s">
        <v>21</v>
      </c>
      <c r="J756" s="7" t="s">
        <v>50</v>
      </c>
      <c r="K756" s="7" t="s">
        <v>31</v>
      </c>
      <c r="L756" s="7" t="s">
        <v>24</v>
      </c>
      <c r="M756" s="7" t="s">
        <v>33</v>
      </c>
      <c r="N756" s="7">
        <v>3</v>
      </c>
      <c r="O756" s="7">
        <v>28505</v>
      </c>
      <c r="P756" s="7">
        <v>68412</v>
      </c>
      <c r="Q756" s="9">
        <v>22450.7</v>
      </c>
      <c r="R756" s="17">
        <f t="shared" si="11"/>
        <v>0.3281690346722797</v>
      </c>
    </row>
    <row r="757" spans="2:18" x14ac:dyDescent="0.3">
      <c r="B757" s="21" t="s">
        <v>1562</v>
      </c>
      <c r="C757" s="11">
        <v>45308</v>
      </c>
      <c r="D757" s="10" t="s">
        <v>1563</v>
      </c>
      <c r="E757" s="10" t="s">
        <v>59</v>
      </c>
      <c r="F757" s="10" t="s">
        <v>37</v>
      </c>
      <c r="G757" s="10">
        <v>36</v>
      </c>
      <c r="H757" s="10" t="s">
        <v>29</v>
      </c>
      <c r="I757" s="10" t="s">
        <v>39</v>
      </c>
      <c r="J757" s="10" t="s">
        <v>50</v>
      </c>
      <c r="K757" s="10" t="s">
        <v>51</v>
      </c>
      <c r="L757" s="10" t="s">
        <v>32</v>
      </c>
      <c r="M757" s="10" t="s">
        <v>41</v>
      </c>
      <c r="N757" s="10">
        <v>4</v>
      </c>
      <c r="O757" s="10">
        <v>45690</v>
      </c>
      <c r="P757" s="10">
        <v>164484</v>
      </c>
      <c r="Q757" s="12">
        <v>50546.3</v>
      </c>
      <c r="R757" s="17">
        <f t="shared" si="11"/>
        <v>0.30730223000413415</v>
      </c>
    </row>
    <row r="758" spans="2:18" x14ac:dyDescent="0.3">
      <c r="B758" s="20" t="s">
        <v>1564</v>
      </c>
      <c r="C758" s="8">
        <v>45483</v>
      </c>
      <c r="D758" s="7" t="s">
        <v>1565</v>
      </c>
      <c r="E758" s="7" t="s">
        <v>76</v>
      </c>
      <c r="F758" s="7" t="s">
        <v>37</v>
      </c>
      <c r="G758" s="7">
        <v>23</v>
      </c>
      <c r="H758" s="7" t="s">
        <v>38</v>
      </c>
      <c r="I758" s="7" t="s">
        <v>21</v>
      </c>
      <c r="J758" s="7" t="s">
        <v>30</v>
      </c>
      <c r="K758" s="7" t="s">
        <v>23</v>
      </c>
      <c r="L758" s="7" t="s">
        <v>60</v>
      </c>
      <c r="M758" s="7" t="s">
        <v>52</v>
      </c>
      <c r="N758" s="7">
        <v>4</v>
      </c>
      <c r="O758" s="7">
        <v>13849</v>
      </c>
      <c r="P758" s="7">
        <v>49856.4</v>
      </c>
      <c r="Q758" s="9">
        <v>16697.740000000002</v>
      </c>
      <c r="R758" s="17">
        <f t="shared" si="11"/>
        <v>0.33491668070699049</v>
      </c>
    </row>
    <row r="759" spans="2:18" x14ac:dyDescent="0.3">
      <c r="B759" s="21" t="s">
        <v>1566</v>
      </c>
      <c r="C759" s="11">
        <v>45561</v>
      </c>
      <c r="D759" s="10" t="s">
        <v>1567</v>
      </c>
      <c r="E759" s="10" t="s">
        <v>18</v>
      </c>
      <c r="F759" s="10" t="s">
        <v>19</v>
      </c>
      <c r="G759" s="10">
        <v>49</v>
      </c>
      <c r="H759" s="10" t="s">
        <v>29</v>
      </c>
      <c r="I759" s="10" t="s">
        <v>21</v>
      </c>
      <c r="J759" s="10" t="s">
        <v>30</v>
      </c>
      <c r="K759" s="10" t="s">
        <v>23</v>
      </c>
      <c r="L759" s="10" t="s">
        <v>80</v>
      </c>
      <c r="M759" s="10" t="s">
        <v>25</v>
      </c>
      <c r="N759" s="10">
        <v>5</v>
      </c>
      <c r="O759" s="10">
        <v>40819</v>
      </c>
      <c r="P759" s="10">
        <v>183685.5</v>
      </c>
      <c r="Q759" s="12">
        <v>51989.8</v>
      </c>
      <c r="R759" s="17">
        <f t="shared" si="11"/>
        <v>0.28303703885173298</v>
      </c>
    </row>
    <row r="760" spans="2:18" x14ac:dyDescent="0.3">
      <c r="B760" s="20" t="s">
        <v>1568</v>
      </c>
      <c r="C760" s="8">
        <v>45444</v>
      </c>
      <c r="D760" s="7" t="s">
        <v>1569</v>
      </c>
      <c r="E760" s="7" t="s">
        <v>59</v>
      </c>
      <c r="F760" s="7" t="s">
        <v>37</v>
      </c>
      <c r="G760" s="7">
        <v>34</v>
      </c>
      <c r="H760" s="7" t="s">
        <v>66</v>
      </c>
      <c r="I760" s="7" t="s">
        <v>39</v>
      </c>
      <c r="J760" s="7" t="s">
        <v>50</v>
      </c>
      <c r="K760" s="7" t="s">
        <v>31</v>
      </c>
      <c r="L760" s="7" t="s">
        <v>60</v>
      </c>
      <c r="M760" s="7" t="s">
        <v>41</v>
      </c>
      <c r="N760" s="7">
        <v>4</v>
      </c>
      <c r="O760" s="7">
        <v>14644</v>
      </c>
      <c r="P760" s="7">
        <v>52718.400000000001</v>
      </c>
      <c r="Q760" s="9">
        <v>14367.33</v>
      </c>
      <c r="R760" s="17">
        <f t="shared" si="11"/>
        <v>0.27252970499863427</v>
      </c>
    </row>
    <row r="761" spans="2:18" x14ac:dyDescent="0.3">
      <c r="B761" s="21" t="s">
        <v>1570</v>
      </c>
      <c r="C761" s="11">
        <v>45379</v>
      </c>
      <c r="D761" s="10" t="s">
        <v>1571</v>
      </c>
      <c r="E761" s="10" t="s">
        <v>44</v>
      </c>
      <c r="F761" s="10" t="s">
        <v>19</v>
      </c>
      <c r="G761" s="10">
        <v>53</v>
      </c>
      <c r="H761" s="10" t="s">
        <v>20</v>
      </c>
      <c r="I761" s="10" t="s">
        <v>46</v>
      </c>
      <c r="J761" s="10" t="s">
        <v>22</v>
      </c>
      <c r="K761" s="10" t="s">
        <v>69</v>
      </c>
      <c r="L761" s="10" t="s">
        <v>80</v>
      </c>
      <c r="M761" s="10" t="s">
        <v>41</v>
      </c>
      <c r="N761" s="10">
        <v>3</v>
      </c>
      <c r="O761" s="10">
        <v>20206</v>
      </c>
      <c r="P761" s="10">
        <v>48494.400000000001</v>
      </c>
      <c r="Q761" s="12">
        <v>10058.32</v>
      </c>
      <c r="R761" s="17">
        <f t="shared" si="11"/>
        <v>0.20741198983800191</v>
      </c>
    </row>
    <row r="762" spans="2:18" x14ac:dyDescent="0.3">
      <c r="B762" s="20" t="s">
        <v>1572</v>
      </c>
      <c r="C762" s="8">
        <v>45528</v>
      </c>
      <c r="D762" s="7" t="s">
        <v>1573</v>
      </c>
      <c r="E762" s="7" t="s">
        <v>93</v>
      </c>
      <c r="F762" s="7" t="s">
        <v>37</v>
      </c>
      <c r="G762" s="7">
        <v>39</v>
      </c>
      <c r="H762" s="7" t="s">
        <v>66</v>
      </c>
      <c r="I762" s="7" t="s">
        <v>21</v>
      </c>
      <c r="J762" s="7" t="s">
        <v>50</v>
      </c>
      <c r="K762" s="7" t="s">
        <v>51</v>
      </c>
      <c r="L762" s="7" t="s">
        <v>24</v>
      </c>
      <c r="M762" s="7" t="s">
        <v>25</v>
      </c>
      <c r="N762" s="7">
        <v>1</v>
      </c>
      <c r="O762" s="7">
        <v>37505</v>
      </c>
      <c r="P762" s="7">
        <v>33754.5</v>
      </c>
      <c r="Q762" s="9">
        <v>9922.15</v>
      </c>
      <c r="R762" s="17">
        <f t="shared" si="11"/>
        <v>0.29395043623813122</v>
      </c>
    </row>
    <row r="763" spans="2:18" x14ac:dyDescent="0.3">
      <c r="B763" s="21" t="s">
        <v>1574</v>
      </c>
      <c r="C763" s="11">
        <v>45318</v>
      </c>
      <c r="D763" s="10" t="s">
        <v>1575</v>
      </c>
      <c r="E763" s="10" t="s">
        <v>76</v>
      </c>
      <c r="F763" s="10" t="s">
        <v>19</v>
      </c>
      <c r="G763" s="10">
        <v>22</v>
      </c>
      <c r="H763" s="10" t="s">
        <v>20</v>
      </c>
      <c r="I763" s="10" t="s">
        <v>46</v>
      </c>
      <c r="J763" s="10" t="s">
        <v>50</v>
      </c>
      <c r="K763" s="10" t="s">
        <v>31</v>
      </c>
      <c r="L763" s="10" t="s">
        <v>60</v>
      </c>
      <c r="M763" s="10" t="s">
        <v>52</v>
      </c>
      <c r="N763" s="10">
        <v>4</v>
      </c>
      <c r="O763" s="10">
        <v>43127</v>
      </c>
      <c r="P763" s="10">
        <v>146631.79999999999</v>
      </c>
      <c r="Q763" s="12">
        <v>40704.9</v>
      </c>
      <c r="R763" s="17">
        <f t="shared" si="11"/>
        <v>0.27759940203966671</v>
      </c>
    </row>
    <row r="764" spans="2:18" x14ac:dyDescent="0.3">
      <c r="B764" s="20" t="s">
        <v>1576</v>
      </c>
      <c r="C764" s="8">
        <v>45634</v>
      </c>
      <c r="D764" s="7" t="s">
        <v>1577</v>
      </c>
      <c r="E764" s="7" t="s">
        <v>65</v>
      </c>
      <c r="F764" s="7" t="s">
        <v>19</v>
      </c>
      <c r="G764" s="7">
        <v>47</v>
      </c>
      <c r="H764" s="7" t="s">
        <v>29</v>
      </c>
      <c r="I764" s="7" t="s">
        <v>21</v>
      </c>
      <c r="J764" s="7" t="s">
        <v>30</v>
      </c>
      <c r="K764" s="7" t="s">
        <v>40</v>
      </c>
      <c r="L764" s="7" t="s">
        <v>32</v>
      </c>
      <c r="M764" s="7" t="s">
        <v>52</v>
      </c>
      <c r="N764" s="7">
        <v>1</v>
      </c>
      <c r="O764" s="7">
        <v>35349</v>
      </c>
      <c r="P764" s="7">
        <v>35349</v>
      </c>
      <c r="Q764" s="9">
        <v>6771.19</v>
      </c>
      <c r="R764" s="17">
        <f t="shared" si="11"/>
        <v>0.19155251916603014</v>
      </c>
    </row>
    <row r="765" spans="2:18" x14ac:dyDescent="0.3">
      <c r="B765" s="21" t="s">
        <v>1578</v>
      </c>
      <c r="C765" s="11">
        <v>45444</v>
      </c>
      <c r="D765" s="10" t="s">
        <v>1579</v>
      </c>
      <c r="E765" s="10" t="s">
        <v>65</v>
      </c>
      <c r="F765" s="10" t="s">
        <v>37</v>
      </c>
      <c r="G765" s="10">
        <v>30</v>
      </c>
      <c r="H765" s="10" t="s">
        <v>38</v>
      </c>
      <c r="I765" s="10" t="s">
        <v>21</v>
      </c>
      <c r="J765" s="10" t="s">
        <v>22</v>
      </c>
      <c r="K765" s="10" t="s">
        <v>23</v>
      </c>
      <c r="L765" s="10" t="s">
        <v>47</v>
      </c>
      <c r="M765" s="10" t="s">
        <v>52</v>
      </c>
      <c r="N765" s="10">
        <v>1</v>
      </c>
      <c r="O765" s="10">
        <v>7004</v>
      </c>
      <c r="P765" s="10">
        <v>6653.8</v>
      </c>
      <c r="Q765" s="12">
        <v>1369.34</v>
      </c>
      <c r="R765" s="17">
        <f t="shared" si="11"/>
        <v>0.20579819050767981</v>
      </c>
    </row>
    <row r="766" spans="2:18" x14ac:dyDescent="0.3">
      <c r="B766" s="20" t="s">
        <v>1580</v>
      </c>
      <c r="C766" s="8">
        <v>45298</v>
      </c>
      <c r="D766" s="7" t="s">
        <v>1581</v>
      </c>
      <c r="E766" s="7" t="s">
        <v>18</v>
      </c>
      <c r="F766" s="7" t="s">
        <v>37</v>
      </c>
      <c r="G766" s="7">
        <v>46</v>
      </c>
      <c r="H766" s="7" t="s">
        <v>29</v>
      </c>
      <c r="I766" s="7" t="s">
        <v>21</v>
      </c>
      <c r="J766" s="7" t="s">
        <v>30</v>
      </c>
      <c r="K766" s="7" t="s">
        <v>31</v>
      </c>
      <c r="L766" s="7" t="s">
        <v>80</v>
      </c>
      <c r="M766" s="7" t="s">
        <v>25</v>
      </c>
      <c r="N766" s="7">
        <v>2</v>
      </c>
      <c r="O766" s="7">
        <v>20647</v>
      </c>
      <c r="P766" s="7">
        <v>35099.9</v>
      </c>
      <c r="Q766" s="9">
        <v>12787.04</v>
      </c>
      <c r="R766" s="17">
        <f t="shared" si="11"/>
        <v>0.36430417180675728</v>
      </c>
    </row>
    <row r="767" spans="2:18" x14ac:dyDescent="0.3">
      <c r="B767" s="21" t="s">
        <v>1582</v>
      </c>
      <c r="C767" s="11">
        <v>45441</v>
      </c>
      <c r="D767" s="10" t="s">
        <v>1583</v>
      </c>
      <c r="E767" s="10" t="s">
        <v>76</v>
      </c>
      <c r="F767" s="10" t="s">
        <v>19</v>
      </c>
      <c r="G767" s="10">
        <v>43</v>
      </c>
      <c r="H767" s="10" t="s">
        <v>66</v>
      </c>
      <c r="I767" s="10" t="s">
        <v>21</v>
      </c>
      <c r="J767" s="10" t="s">
        <v>22</v>
      </c>
      <c r="K767" s="10" t="s">
        <v>69</v>
      </c>
      <c r="L767" s="10" t="s">
        <v>24</v>
      </c>
      <c r="M767" s="10" t="s">
        <v>33</v>
      </c>
      <c r="N767" s="10">
        <v>2</v>
      </c>
      <c r="O767" s="10">
        <v>39491</v>
      </c>
      <c r="P767" s="10">
        <v>75032.899999999994</v>
      </c>
      <c r="Q767" s="12">
        <v>16689.32</v>
      </c>
      <c r="R767" s="17">
        <f t="shared" si="11"/>
        <v>0.22242669548957858</v>
      </c>
    </row>
    <row r="768" spans="2:18" x14ac:dyDescent="0.3">
      <c r="B768" s="20" t="s">
        <v>1584</v>
      </c>
      <c r="C768" s="8">
        <v>45310</v>
      </c>
      <c r="D768" s="7" t="s">
        <v>1585</v>
      </c>
      <c r="E768" s="7" t="s">
        <v>28</v>
      </c>
      <c r="F768" s="7" t="s">
        <v>37</v>
      </c>
      <c r="G768" s="7">
        <v>60</v>
      </c>
      <c r="H768" s="7" t="s">
        <v>20</v>
      </c>
      <c r="I768" s="7" t="s">
        <v>46</v>
      </c>
      <c r="J768" s="7" t="s">
        <v>30</v>
      </c>
      <c r="K768" s="7" t="s">
        <v>31</v>
      </c>
      <c r="L768" s="7" t="s">
        <v>32</v>
      </c>
      <c r="M768" s="7" t="s">
        <v>25</v>
      </c>
      <c r="N768" s="7">
        <v>1</v>
      </c>
      <c r="O768" s="7">
        <v>2656</v>
      </c>
      <c r="P768" s="7">
        <v>2124.8000000000002</v>
      </c>
      <c r="Q768" s="9">
        <v>807.17</v>
      </c>
      <c r="R768" s="17">
        <f t="shared" si="11"/>
        <v>0.37988045933734932</v>
      </c>
    </row>
    <row r="769" spans="2:18" x14ac:dyDescent="0.3">
      <c r="B769" s="21" t="s">
        <v>1586</v>
      </c>
      <c r="C769" s="11">
        <v>45611</v>
      </c>
      <c r="D769" s="10" t="s">
        <v>1587</v>
      </c>
      <c r="E769" s="10" t="s">
        <v>28</v>
      </c>
      <c r="F769" s="10" t="s">
        <v>37</v>
      </c>
      <c r="G769" s="10">
        <v>56</v>
      </c>
      <c r="H769" s="10" t="s">
        <v>29</v>
      </c>
      <c r="I769" s="10" t="s">
        <v>21</v>
      </c>
      <c r="J769" s="10" t="s">
        <v>30</v>
      </c>
      <c r="K769" s="10" t="s">
        <v>40</v>
      </c>
      <c r="L769" s="10" t="s">
        <v>60</v>
      </c>
      <c r="M769" s="10" t="s">
        <v>41</v>
      </c>
      <c r="N769" s="10">
        <v>5</v>
      </c>
      <c r="O769" s="10">
        <v>23328</v>
      </c>
      <c r="P769" s="10">
        <v>110808</v>
      </c>
      <c r="Q769" s="12">
        <v>29825.88</v>
      </c>
      <c r="R769" s="17">
        <f t="shared" si="11"/>
        <v>0.26916720814381634</v>
      </c>
    </row>
    <row r="770" spans="2:18" x14ac:dyDescent="0.3">
      <c r="B770" s="20" t="s">
        <v>1588</v>
      </c>
      <c r="C770" s="8">
        <v>45565</v>
      </c>
      <c r="D770" s="7" t="s">
        <v>1589</v>
      </c>
      <c r="E770" s="7" t="s">
        <v>76</v>
      </c>
      <c r="F770" s="7" t="s">
        <v>37</v>
      </c>
      <c r="G770" s="7">
        <v>57</v>
      </c>
      <c r="H770" s="7" t="s">
        <v>56</v>
      </c>
      <c r="I770" s="7" t="s">
        <v>21</v>
      </c>
      <c r="J770" s="7" t="s">
        <v>22</v>
      </c>
      <c r="K770" s="7" t="s">
        <v>69</v>
      </c>
      <c r="L770" s="7" t="s">
        <v>24</v>
      </c>
      <c r="M770" s="7" t="s">
        <v>52</v>
      </c>
      <c r="N770" s="7">
        <v>4</v>
      </c>
      <c r="O770" s="7">
        <v>40165</v>
      </c>
      <c r="P770" s="7">
        <v>160660</v>
      </c>
      <c r="Q770" s="9">
        <v>44536.32</v>
      </c>
      <c r="R770" s="17">
        <f t="shared" si="11"/>
        <v>0.27720851487613596</v>
      </c>
    </row>
    <row r="771" spans="2:18" x14ac:dyDescent="0.3">
      <c r="B771" s="21" t="s">
        <v>1590</v>
      </c>
      <c r="C771" s="11">
        <v>45306</v>
      </c>
      <c r="D771" s="10" t="s">
        <v>1591</v>
      </c>
      <c r="E771" s="10" t="s">
        <v>28</v>
      </c>
      <c r="F771" s="10" t="s">
        <v>37</v>
      </c>
      <c r="G771" s="10">
        <v>47</v>
      </c>
      <c r="H771" s="10" t="s">
        <v>66</v>
      </c>
      <c r="I771" s="10" t="s">
        <v>46</v>
      </c>
      <c r="J771" s="10" t="s">
        <v>50</v>
      </c>
      <c r="K771" s="10" t="s">
        <v>69</v>
      </c>
      <c r="L771" s="10" t="s">
        <v>60</v>
      </c>
      <c r="M771" s="10" t="s">
        <v>33</v>
      </c>
      <c r="N771" s="10">
        <v>1</v>
      </c>
      <c r="O771" s="10">
        <v>46506</v>
      </c>
      <c r="P771" s="10">
        <v>44180.7</v>
      </c>
      <c r="Q771" s="12">
        <v>10610.72</v>
      </c>
      <c r="R771" s="17">
        <f t="shared" si="11"/>
        <v>0.240166407503729</v>
      </c>
    </row>
    <row r="772" spans="2:18" x14ac:dyDescent="0.3">
      <c r="B772" s="20" t="s">
        <v>1592</v>
      </c>
      <c r="C772" s="8">
        <v>45297</v>
      </c>
      <c r="D772" s="7" t="s">
        <v>1593</v>
      </c>
      <c r="E772" s="7" t="s">
        <v>44</v>
      </c>
      <c r="F772" s="7" t="s">
        <v>37</v>
      </c>
      <c r="G772" s="7">
        <v>30</v>
      </c>
      <c r="H772" s="7" t="s">
        <v>20</v>
      </c>
      <c r="I772" s="7" t="s">
        <v>21</v>
      </c>
      <c r="J772" s="7" t="s">
        <v>50</v>
      </c>
      <c r="K772" s="7" t="s">
        <v>40</v>
      </c>
      <c r="L772" s="7" t="s">
        <v>80</v>
      </c>
      <c r="M772" s="7" t="s">
        <v>25</v>
      </c>
      <c r="N772" s="7">
        <v>2</v>
      </c>
      <c r="O772" s="7">
        <v>27198</v>
      </c>
      <c r="P772" s="7">
        <v>43516.800000000003</v>
      </c>
      <c r="Q772" s="9">
        <v>14949.41</v>
      </c>
      <c r="R772" s="17">
        <f t="shared" ref="R772:R835" si="12">Q772/P772</f>
        <v>0.34353192330318405</v>
      </c>
    </row>
    <row r="773" spans="2:18" x14ac:dyDescent="0.3">
      <c r="B773" s="21" t="s">
        <v>1594</v>
      </c>
      <c r="C773" s="11">
        <v>45551</v>
      </c>
      <c r="D773" s="10" t="s">
        <v>1595</v>
      </c>
      <c r="E773" s="10" t="s">
        <v>93</v>
      </c>
      <c r="F773" s="10" t="s">
        <v>19</v>
      </c>
      <c r="G773" s="10">
        <v>54</v>
      </c>
      <c r="H773" s="10" t="s">
        <v>29</v>
      </c>
      <c r="I773" s="10" t="s">
        <v>39</v>
      </c>
      <c r="J773" s="10" t="s">
        <v>30</v>
      </c>
      <c r="K773" s="10" t="s">
        <v>51</v>
      </c>
      <c r="L773" s="10" t="s">
        <v>80</v>
      </c>
      <c r="M773" s="10" t="s">
        <v>41</v>
      </c>
      <c r="N773" s="10">
        <v>1</v>
      </c>
      <c r="O773" s="10">
        <v>14786</v>
      </c>
      <c r="P773" s="10">
        <v>13307.4</v>
      </c>
      <c r="Q773" s="12">
        <v>2484.87</v>
      </c>
      <c r="R773" s="17">
        <f t="shared" si="12"/>
        <v>0.18672843680959467</v>
      </c>
    </row>
    <row r="774" spans="2:18" x14ac:dyDescent="0.3">
      <c r="B774" s="20" t="s">
        <v>1596</v>
      </c>
      <c r="C774" s="8">
        <v>45468</v>
      </c>
      <c r="D774" s="7" t="s">
        <v>1597</v>
      </c>
      <c r="E774" s="7" t="s">
        <v>18</v>
      </c>
      <c r="F774" s="7" t="s">
        <v>19</v>
      </c>
      <c r="G774" s="7">
        <v>36</v>
      </c>
      <c r="H774" s="7" t="s">
        <v>56</v>
      </c>
      <c r="I774" s="7" t="s">
        <v>21</v>
      </c>
      <c r="J774" s="7" t="s">
        <v>30</v>
      </c>
      <c r="K774" s="7" t="s">
        <v>69</v>
      </c>
      <c r="L774" s="7" t="s">
        <v>60</v>
      </c>
      <c r="M774" s="7" t="s">
        <v>33</v>
      </c>
      <c r="N774" s="7">
        <v>4</v>
      </c>
      <c r="O774" s="7">
        <v>37368</v>
      </c>
      <c r="P774" s="7">
        <v>149472</v>
      </c>
      <c r="Q774" s="9">
        <v>51614.43</v>
      </c>
      <c r="R774" s="17">
        <f t="shared" si="12"/>
        <v>0.34531169717405269</v>
      </c>
    </row>
    <row r="775" spans="2:18" x14ac:dyDescent="0.3">
      <c r="B775" s="21" t="s">
        <v>1598</v>
      </c>
      <c r="C775" s="11">
        <v>45395</v>
      </c>
      <c r="D775" s="10" t="s">
        <v>1599</v>
      </c>
      <c r="E775" s="10" t="s">
        <v>18</v>
      </c>
      <c r="F775" s="10" t="s">
        <v>19</v>
      </c>
      <c r="G775" s="10">
        <v>48</v>
      </c>
      <c r="H775" s="10" t="s">
        <v>20</v>
      </c>
      <c r="I775" s="10" t="s">
        <v>46</v>
      </c>
      <c r="J775" s="10" t="s">
        <v>50</v>
      </c>
      <c r="K775" s="10" t="s">
        <v>40</v>
      </c>
      <c r="L775" s="10" t="s">
        <v>47</v>
      </c>
      <c r="M775" s="10" t="s">
        <v>25</v>
      </c>
      <c r="N775" s="10">
        <v>5</v>
      </c>
      <c r="O775" s="10">
        <v>8194</v>
      </c>
      <c r="P775" s="10">
        <v>36873</v>
      </c>
      <c r="Q775" s="12">
        <v>8440</v>
      </c>
      <c r="R775" s="17">
        <f t="shared" si="12"/>
        <v>0.22889377050958695</v>
      </c>
    </row>
    <row r="776" spans="2:18" x14ac:dyDescent="0.3">
      <c r="B776" s="20" t="s">
        <v>1600</v>
      </c>
      <c r="C776" s="8">
        <v>45512</v>
      </c>
      <c r="D776" s="7" t="s">
        <v>1601</v>
      </c>
      <c r="E776" s="7" t="s">
        <v>76</v>
      </c>
      <c r="F776" s="7" t="s">
        <v>37</v>
      </c>
      <c r="G776" s="7">
        <v>41</v>
      </c>
      <c r="H776" s="7" t="s">
        <v>20</v>
      </c>
      <c r="I776" s="7" t="s">
        <v>46</v>
      </c>
      <c r="J776" s="7" t="s">
        <v>50</v>
      </c>
      <c r="K776" s="7" t="s">
        <v>23</v>
      </c>
      <c r="L776" s="7" t="s">
        <v>60</v>
      </c>
      <c r="M776" s="7" t="s">
        <v>25</v>
      </c>
      <c r="N776" s="7">
        <v>1</v>
      </c>
      <c r="O776" s="7">
        <v>39366</v>
      </c>
      <c r="P776" s="7">
        <v>31492.799999999999</v>
      </c>
      <c r="Q776" s="9">
        <v>11495.04</v>
      </c>
      <c r="R776" s="17">
        <f t="shared" si="12"/>
        <v>0.36500533455265971</v>
      </c>
    </row>
    <row r="777" spans="2:18" x14ac:dyDescent="0.3">
      <c r="B777" s="21" t="s">
        <v>1602</v>
      </c>
      <c r="C777" s="11">
        <v>45569</v>
      </c>
      <c r="D777" s="10" t="s">
        <v>1603</v>
      </c>
      <c r="E777" s="10" t="s">
        <v>36</v>
      </c>
      <c r="F777" s="10" t="s">
        <v>37</v>
      </c>
      <c r="G777" s="10">
        <v>43</v>
      </c>
      <c r="H777" s="10" t="s">
        <v>29</v>
      </c>
      <c r="I777" s="10" t="s">
        <v>21</v>
      </c>
      <c r="J777" s="10" t="s">
        <v>22</v>
      </c>
      <c r="K777" s="10" t="s">
        <v>69</v>
      </c>
      <c r="L777" s="10" t="s">
        <v>47</v>
      </c>
      <c r="M777" s="10" t="s">
        <v>41</v>
      </c>
      <c r="N777" s="10">
        <v>5</v>
      </c>
      <c r="O777" s="10">
        <v>5171</v>
      </c>
      <c r="P777" s="10">
        <v>25855</v>
      </c>
      <c r="Q777" s="12">
        <v>8049.71</v>
      </c>
      <c r="R777" s="17">
        <f t="shared" si="12"/>
        <v>0.31134055308450975</v>
      </c>
    </row>
    <row r="778" spans="2:18" x14ac:dyDescent="0.3">
      <c r="B778" s="20" t="s">
        <v>1604</v>
      </c>
      <c r="C778" s="8">
        <v>45611</v>
      </c>
      <c r="D778" s="7" t="s">
        <v>1605</v>
      </c>
      <c r="E778" s="7" t="s">
        <v>79</v>
      </c>
      <c r="F778" s="7" t="s">
        <v>37</v>
      </c>
      <c r="G778" s="7">
        <v>53</v>
      </c>
      <c r="H778" s="7" t="s">
        <v>38</v>
      </c>
      <c r="I778" s="7" t="s">
        <v>21</v>
      </c>
      <c r="J778" s="7" t="s">
        <v>22</v>
      </c>
      <c r="K778" s="7" t="s">
        <v>69</v>
      </c>
      <c r="L778" s="7" t="s">
        <v>24</v>
      </c>
      <c r="M778" s="7" t="s">
        <v>41</v>
      </c>
      <c r="N778" s="7">
        <v>5</v>
      </c>
      <c r="O778" s="7">
        <v>15288</v>
      </c>
      <c r="P778" s="7">
        <v>68796</v>
      </c>
      <c r="Q778" s="9">
        <v>20880.43</v>
      </c>
      <c r="R778" s="17">
        <f t="shared" si="12"/>
        <v>0.30351226815512528</v>
      </c>
    </row>
    <row r="779" spans="2:18" x14ac:dyDescent="0.3">
      <c r="B779" s="21" t="s">
        <v>1606</v>
      </c>
      <c r="C779" s="11">
        <v>45465</v>
      </c>
      <c r="D779" s="10" t="s">
        <v>1607</v>
      </c>
      <c r="E779" s="10" t="s">
        <v>76</v>
      </c>
      <c r="F779" s="10" t="s">
        <v>37</v>
      </c>
      <c r="G779" s="10">
        <v>44</v>
      </c>
      <c r="H779" s="10" t="s">
        <v>38</v>
      </c>
      <c r="I779" s="10" t="s">
        <v>46</v>
      </c>
      <c r="J779" s="10" t="s">
        <v>30</v>
      </c>
      <c r="K779" s="10" t="s">
        <v>40</v>
      </c>
      <c r="L779" s="10" t="s">
        <v>60</v>
      </c>
      <c r="M779" s="10" t="s">
        <v>52</v>
      </c>
      <c r="N779" s="10">
        <v>2</v>
      </c>
      <c r="O779" s="10">
        <v>14156</v>
      </c>
      <c r="P779" s="10">
        <v>24065.200000000001</v>
      </c>
      <c r="Q779" s="12">
        <v>9399.36</v>
      </c>
      <c r="R779" s="17">
        <f t="shared" si="12"/>
        <v>0.39057892724764393</v>
      </c>
    </row>
    <row r="780" spans="2:18" x14ac:dyDescent="0.3">
      <c r="B780" s="20" t="s">
        <v>1608</v>
      </c>
      <c r="C780" s="8">
        <v>45502</v>
      </c>
      <c r="D780" s="7" t="s">
        <v>1609</v>
      </c>
      <c r="E780" s="7" t="s">
        <v>55</v>
      </c>
      <c r="F780" s="7" t="s">
        <v>37</v>
      </c>
      <c r="G780" s="7">
        <v>33</v>
      </c>
      <c r="H780" s="7" t="s">
        <v>45</v>
      </c>
      <c r="I780" s="7" t="s">
        <v>46</v>
      </c>
      <c r="J780" s="7" t="s">
        <v>50</v>
      </c>
      <c r="K780" s="7" t="s">
        <v>23</v>
      </c>
      <c r="L780" s="7" t="s">
        <v>80</v>
      </c>
      <c r="M780" s="7" t="s">
        <v>25</v>
      </c>
      <c r="N780" s="7">
        <v>3</v>
      </c>
      <c r="O780" s="7">
        <v>25165</v>
      </c>
      <c r="P780" s="7">
        <v>75495</v>
      </c>
      <c r="Q780" s="9">
        <v>16011.27</v>
      </c>
      <c r="R780" s="17">
        <f t="shared" si="12"/>
        <v>0.21208384661235843</v>
      </c>
    </row>
    <row r="781" spans="2:18" x14ac:dyDescent="0.3">
      <c r="B781" s="21" t="s">
        <v>1610</v>
      </c>
      <c r="C781" s="11">
        <v>45480</v>
      </c>
      <c r="D781" s="10" t="s">
        <v>1611</v>
      </c>
      <c r="E781" s="10" t="s">
        <v>93</v>
      </c>
      <c r="F781" s="10" t="s">
        <v>19</v>
      </c>
      <c r="G781" s="10">
        <v>56</v>
      </c>
      <c r="H781" s="10" t="s">
        <v>29</v>
      </c>
      <c r="I781" s="10" t="s">
        <v>21</v>
      </c>
      <c r="J781" s="10" t="s">
        <v>30</v>
      </c>
      <c r="K781" s="10" t="s">
        <v>40</v>
      </c>
      <c r="L781" s="10" t="s">
        <v>60</v>
      </c>
      <c r="M781" s="10" t="s">
        <v>52</v>
      </c>
      <c r="N781" s="10">
        <v>5</v>
      </c>
      <c r="O781" s="10">
        <v>1393</v>
      </c>
      <c r="P781" s="10">
        <v>6616.75</v>
      </c>
      <c r="Q781" s="12">
        <v>2267.19</v>
      </c>
      <c r="R781" s="17">
        <f t="shared" si="12"/>
        <v>0.34264404730419012</v>
      </c>
    </row>
    <row r="782" spans="2:18" x14ac:dyDescent="0.3">
      <c r="B782" s="20" t="s">
        <v>1612</v>
      </c>
      <c r="C782" s="8">
        <v>45581</v>
      </c>
      <c r="D782" s="7" t="s">
        <v>1613</v>
      </c>
      <c r="E782" s="7" t="s">
        <v>65</v>
      </c>
      <c r="F782" s="7" t="s">
        <v>37</v>
      </c>
      <c r="G782" s="7">
        <v>56</v>
      </c>
      <c r="H782" s="7" t="s">
        <v>56</v>
      </c>
      <c r="I782" s="7" t="s">
        <v>21</v>
      </c>
      <c r="J782" s="7" t="s">
        <v>22</v>
      </c>
      <c r="K782" s="7" t="s">
        <v>40</v>
      </c>
      <c r="L782" s="7" t="s">
        <v>47</v>
      </c>
      <c r="M782" s="7" t="s">
        <v>52</v>
      </c>
      <c r="N782" s="7">
        <v>2</v>
      </c>
      <c r="O782" s="7">
        <v>15053</v>
      </c>
      <c r="P782" s="7">
        <v>25590.1</v>
      </c>
      <c r="Q782" s="9">
        <v>7686.78</v>
      </c>
      <c r="R782" s="17">
        <f t="shared" si="12"/>
        <v>0.3003810067174415</v>
      </c>
    </row>
    <row r="783" spans="2:18" x14ac:dyDescent="0.3">
      <c r="B783" s="21" t="s">
        <v>1614</v>
      </c>
      <c r="C783" s="11">
        <v>45596</v>
      </c>
      <c r="D783" s="10" t="s">
        <v>1615</v>
      </c>
      <c r="E783" s="10" t="s">
        <v>93</v>
      </c>
      <c r="F783" s="10" t="s">
        <v>37</v>
      </c>
      <c r="G783" s="10">
        <v>34</v>
      </c>
      <c r="H783" s="10" t="s">
        <v>38</v>
      </c>
      <c r="I783" s="10" t="s">
        <v>21</v>
      </c>
      <c r="J783" s="10" t="s">
        <v>50</v>
      </c>
      <c r="K783" s="10" t="s">
        <v>69</v>
      </c>
      <c r="L783" s="10" t="s">
        <v>32</v>
      </c>
      <c r="M783" s="10" t="s">
        <v>33</v>
      </c>
      <c r="N783" s="10">
        <v>5</v>
      </c>
      <c r="O783" s="10">
        <v>31118</v>
      </c>
      <c r="P783" s="10">
        <v>147810.5</v>
      </c>
      <c r="Q783" s="12">
        <v>53335.88</v>
      </c>
      <c r="R783" s="17">
        <f t="shared" si="12"/>
        <v>0.36083958852720205</v>
      </c>
    </row>
    <row r="784" spans="2:18" x14ac:dyDescent="0.3">
      <c r="B784" s="20" t="s">
        <v>1616</v>
      </c>
      <c r="C784" s="8">
        <v>45619</v>
      </c>
      <c r="D784" s="7" t="s">
        <v>1617</v>
      </c>
      <c r="E784" s="7" t="s">
        <v>55</v>
      </c>
      <c r="F784" s="7" t="s">
        <v>19</v>
      </c>
      <c r="G784" s="7">
        <v>45</v>
      </c>
      <c r="H784" s="7" t="s">
        <v>29</v>
      </c>
      <c r="I784" s="7" t="s">
        <v>21</v>
      </c>
      <c r="J784" s="7" t="s">
        <v>50</v>
      </c>
      <c r="K784" s="7" t="s">
        <v>31</v>
      </c>
      <c r="L784" s="7" t="s">
        <v>60</v>
      </c>
      <c r="M784" s="7" t="s">
        <v>25</v>
      </c>
      <c r="N784" s="7">
        <v>1</v>
      </c>
      <c r="O784" s="7">
        <v>8576</v>
      </c>
      <c r="P784" s="7">
        <v>8147.2</v>
      </c>
      <c r="Q784" s="9">
        <v>2272.9699999999998</v>
      </c>
      <c r="R784" s="17">
        <f t="shared" si="12"/>
        <v>0.27898787313432832</v>
      </c>
    </row>
    <row r="785" spans="2:18" x14ac:dyDescent="0.3">
      <c r="B785" s="21" t="s">
        <v>1618</v>
      </c>
      <c r="C785" s="11">
        <v>45333</v>
      </c>
      <c r="D785" s="10" t="s">
        <v>1619</v>
      </c>
      <c r="E785" s="10" t="s">
        <v>28</v>
      </c>
      <c r="F785" s="10" t="s">
        <v>19</v>
      </c>
      <c r="G785" s="10">
        <v>58</v>
      </c>
      <c r="H785" s="10" t="s">
        <v>20</v>
      </c>
      <c r="I785" s="10" t="s">
        <v>39</v>
      </c>
      <c r="J785" s="10" t="s">
        <v>30</v>
      </c>
      <c r="K785" s="10" t="s">
        <v>69</v>
      </c>
      <c r="L785" s="10" t="s">
        <v>47</v>
      </c>
      <c r="M785" s="10" t="s">
        <v>41</v>
      </c>
      <c r="N785" s="10">
        <v>5</v>
      </c>
      <c r="O785" s="10">
        <v>12157</v>
      </c>
      <c r="P785" s="10">
        <v>48628</v>
      </c>
      <c r="Q785" s="12">
        <v>13884.8</v>
      </c>
      <c r="R785" s="17">
        <f t="shared" si="12"/>
        <v>0.28553096981163112</v>
      </c>
    </row>
    <row r="786" spans="2:18" x14ac:dyDescent="0.3">
      <c r="B786" s="20" t="s">
        <v>1620</v>
      </c>
      <c r="C786" s="8">
        <v>45364</v>
      </c>
      <c r="D786" s="7" t="s">
        <v>1621</v>
      </c>
      <c r="E786" s="7" t="s">
        <v>79</v>
      </c>
      <c r="F786" s="7" t="s">
        <v>19</v>
      </c>
      <c r="G786" s="7">
        <v>55</v>
      </c>
      <c r="H786" s="7" t="s">
        <v>20</v>
      </c>
      <c r="I786" s="7" t="s">
        <v>21</v>
      </c>
      <c r="J786" s="7" t="s">
        <v>22</v>
      </c>
      <c r="K786" s="7" t="s">
        <v>40</v>
      </c>
      <c r="L786" s="7" t="s">
        <v>47</v>
      </c>
      <c r="M786" s="7" t="s">
        <v>52</v>
      </c>
      <c r="N786" s="7">
        <v>1</v>
      </c>
      <c r="O786" s="7">
        <v>49217</v>
      </c>
      <c r="P786" s="7">
        <v>49217</v>
      </c>
      <c r="Q786" s="9">
        <v>8234.19</v>
      </c>
      <c r="R786" s="17">
        <f t="shared" si="12"/>
        <v>0.1673037771501717</v>
      </c>
    </row>
    <row r="787" spans="2:18" x14ac:dyDescent="0.3">
      <c r="B787" s="21" t="s">
        <v>1622</v>
      </c>
      <c r="C787" s="11">
        <v>45308</v>
      </c>
      <c r="D787" s="10" t="s">
        <v>1623</v>
      </c>
      <c r="E787" s="10" t="s">
        <v>76</v>
      </c>
      <c r="F787" s="10" t="s">
        <v>37</v>
      </c>
      <c r="G787" s="10">
        <v>38</v>
      </c>
      <c r="H787" s="10" t="s">
        <v>20</v>
      </c>
      <c r="I787" s="10" t="s">
        <v>21</v>
      </c>
      <c r="J787" s="10" t="s">
        <v>50</v>
      </c>
      <c r="K787" s="10" t="s">
        <v>23</v>
      </c>
      <c r="L787" s="10" t="s">
        <v>47</v>
      </c>
      <c r="M787" s="10" t="s">
        <v>52</v>
      </c>
      <c r="N787" s="10">
        <v>2</v>
      </c>
      <c r="O787" s="10">
        <v>32878</v>
      </c>
      <c r="P787" s="10">
        <v>55892.6</v>
      </c>
      <c r="Q787" s="12">
        <v>12061.07</v>
      </c>
      <c r="R787" s="17">
        <f t="shared" si="12"/>
        <v>0.21579010459345244</v>
      </c>
    </row>
    <row r="788" spans="2:18" x14ac:dyDescent="0.3">
      <c r="B788" s="20" t="s">
        <v>1624</v>
      </c>
      <c r="C788" s="8">
        <v>45651</v>
      </c>
      <c r="D788" s="7" t="s">
        <v>1625</v>
      </c>
      <c r="E788" s="7" t="s">
        <v>59</v>
      </c>
      <c r="F788" s="7" t="s">
        <v>37</v>
      </c>
      <c r="G788" s="7">
        <v>52</v>
      </c>
      <c r="H788" s="7" t="s">
        <v>56</v>
      </c>
      <c r="I788" s="7" t="s">
        <v>46</v>
      </c>
      <c r="J788" s="7" t="s">
        <v>22</v>
      </c>
      <c r="K788" s="7" t="s">
        <v>69</v>
      </c>
      <c r="L788" s="7" t="s">
        <v>80</v>
      </c>
      <c r="M788" s="7" t="s">
        <v>25</v>
      </c>
      <c r="N788" s="7">
        <v>1</v>
      </c>
      <c r="O788" s="7">
        <v>4011</v>
      </c>
      <c r="P788" s="7">
        <v>4011</v>
      </c>
      <c r="Q788" s="9">
        <v>1103.1500000000001</v>
      </c>
      <c r="R788" s="17">
        <f t="shared" si="12"/>
        <v>0.27503116429818003</v>
      </c>
    </row>
    <row r="789" spans="2:18" x14ac:dyDescent="0.3">
      <c r="B789" s="21" t="s">
        <v>1626</v>
      </c>
      <c r="C789" s="11">
        <v>45405</v>
      </c>
      <c r="D789" s="10" t="s">
        <v>1627</v>
      </c>
      <c r="E789" s="10" t="s">
        <v>28</v>
      </c>
      <c r="F789" s="10" t="s">
        <v>37</v>
      </c>
      <c r="G789" s="10">
        <v>25</v>
      </c>
      <c r="H789" s="10" t="s">
        <v>20</v>
      </c>
      <c r="I789" s="10" t="s">
        <v>21</v>
      </c>
      <c r="J789" s="10" t="s">
        <v>22</v>
      </c>
      <c r="K789" s="10" t="s">
        <v>51</v>
      </c>
      <c r="L789" s="10" t="s">
        <v>32</v>
      </c>
      <c r="M789" s="10" t="s">
        <v>41</v>
      </c>
      <c r="N789" s="10">
        <v>1</v>
      </c>
      <c r="O789" s="10">
        <v>34634</v>
      </c>
      <c r="P789" s="10">
        <v>27707.200000000001</v>
      </c>
      <c r="Q789" s="12">
        <v>6123.36</v>
      </c>
      <c r="R789" s="17">
        <f t="shared" si="12"/>
        <v>0.22100248310908355</v>
      </c>
    </row>
    <row r="790" spans="2:18" x14ac:dyDescent="0.3">
      <c r="B790" s="20" t="s">
        <v>1628</v>
      </c>
      <c r="C790" s="8">
        <v>45638</v>
      </c>
      <c r="D790" s="7" t="s">
        <v>1629</v>
      </c>
      <c r="E790" s="7" t="s">
        <v>44</v>
      </c>
      <c r="F790" s="7" t="s">
        <v>19</v>
      </c>
      <c r="G790" s="7">
        <v>42</v>
      </c>
      <c r="H790" s="7" t="s">
        <v>56</v>
      </c>
      <c r="I790" s="7" t="s">
        <v>21</v>
      </c>
      <c r="J790" s="7" t="s">
        <v>50</v>
      </c>
      <c r="K790" s="7" t="s">
        <v>69</v>
      </c>
      <c r="L790" s="7" t="s">
        <v>47</v>
      </c>
      <c r="M790" s="7" t="s">
        <v>25</v>
      </c>
      <c r="N790" s="7">
        <v>1</v>
      </c>
      <c r="O790" s="7">
        <v>38306</v>
      </c>
      <c r="P790" s="7">
        <v>38306</v>
      </c>
      <c r="Q790" s="9">
        <v>10468.91</v>
      </c>
      <c r="R790" s="17">
        <f t="shared" si="12"/>
        <v>0.27329687255260271</v>
      </c>
    </row>
    <row r="791" spans="2:18" x14ac:dyDescent="0.3">
      <c r="B791" s="21" t="s">
        <v>1630</v>
      </c>
      <c r="C791" s="11">
        <v>45315</v>
      </c>
      <c r="D791" s="10" t="s">
        <v>1631</v>
      </c>
      <c r="E791" s="10" t="s">
        <v>55</v>
      </c>
      <c r="F791" s="10" t="s">
        <v>19</v>
      </c>
      <c r="G791" s="10">
        <v>52</v>
      </c>
      <c r="H791" s="10" t="s">
        <v>66</v>
      </c>
      <c r="I791" s="10" t="s">
        <v>39</v>
      </c>
      <c r="J791" s="10" t="s">
        <v>22</v>
      </c>
      <c r="K791" s="10" t="s">
        <v>69</v>
      </c>
      <c r="L791" s="10" t="s">
        <v>60</v>
      </c>
      <c r="M791" s="10" t="s">
        <v>33</v>
      </c>
      <c r="N791" s="10">
        <v>5</v>
      </c>
      <c r="O791" s="10">
        <v>13948</v>
      </c>
      <c r="P791" s="10">
        <v>69740</v>
      </c>
      <c r="Q791" s="12">
        <v>23998.05</v>
      </c>
      <c r="R791" s="17">
        <f t="shared" si="12"/>
        <v>0.344107398910238</v>
      </c>
    </row>
    <row r="792" spans="2:18" x14ac:dyDescent="0.3">
      <c r="B792" s="20" t="s">
        <v>1632</v>
      </c>
      <c r="C792" s="8">
        <v>45548</v>
      </c>
      <c r="D792" s="7" t="s">
        <v>1633</v>
      </c>
      <c r="E792" s="7" t="s">
        <v>55</v>
      </c>
      <c r="F792" s="7" t="s">
        <v>19</v>
      </c>
      <c r="G792" s="7">
        <v>49</v>
      </c>
      <c r="H792" s="7" t="s">
        <v>66</v>
      </c>
      <c r="I792" s="7" t="s">
        <v>21</v>
      </c>
      <c r="J792" s="7" t="s">
        <v>50</v>
      </c>
      <c r="K792" s="7" t="s">
        <v>23</v>
      </c>
      <c r="L792" s="7" t="s">
        <v>47</v>
      </c>
      <c r="M792" s="7" t="s">
        <v>33</v>
      </c>
      <c r="N792" s="7">
        <v>3</v>
      </c>
      <c r="O792" s="7">
        <v>732</v>
      </c>
      <c r="P792" s="7">
        <v>1756.8</v>
      </c>
      <c r="Q792" s="9">
        <v>280.11</v>
      </c>
      <c r="R792" s="17">
        <f t="shared" si="12"/>
        <v>0.15944330601092899</v>
      </c>
    </row>
    <row r="793" spans="2:18" x14ac:dyDescent="0.3">
      <c r="B793" s="21" t="s">
        <v>1634</v>
      </c>
      <c r="C793" s="11">
        <v>45529</v>
      </c>
      <c r="D793" s="10" t="s">
        <v>1635</v>
      </c>
      <c r="E793" s="10" t="s">
        <v>79</v>
      </c>
      <c r="F793" s="10" t="s">
        <v>37</v>
      </c>
      <c r="G793" s="10">
        <v>20</v>
      </c>
      <c r="H793" s="10" t="s">
        <v>66</v>
      </c>
      <c r="I793" s="10" t="s">
        <v>21</v>
      </c>
      <c r="J793" s="10" t="s">
        <v>50</v>
      </c>
      <c r="K793" s="10" t="s">
        <v>23</v>
      </c>
      <c r="L793" s="10" t="s">
        <v>80</v>
      </c>
      <c r="M793" s="10" t="s">
        <v>25</v>
      </c>
      <c r="N793" s="10">
        <v>3</v>
      </c>
      <c r="O793" s="10">
        <v>42774</v>
      </c>
      <c r="P793" s="10">
        <v>121905.9</v>
      </c>
      <c r="Q793" s="12">
        <v>41300.300000000003</v>
      </c>
      <c r="R793" s="17">
        <f t="shared" si="12"/>
        <v>0.3387883605305404</v>
      </c>
    </row>
    <row r="794" spans="2:18" x14ac:dyDescent="0.3">
      <c r="B794" s="20" t="s">
        <v>1636</v>
      </c>
      <c r="C794" s="8">
        <v>45609</v>
      </c>
      <c r="D794" s="7" t="s">
        <v>1637</v>
      </c>
      <c r="E794" s="7" t="s">
        <v>18</v>
      </c>
      <c r="F794" s="7" t="s">
        <v>37</v>
      </c>
      <c r="G794" s="7">
        <v>24</v>
      </c>
      <c r="H794" s="7" t="s">
        <v>20</v>
      </c>
      <c r="I794" s="7" t="s">
        <v>21</v>
      </c>
      <c r="J794" s="7" t="s">
        <v>22</v>
      </c>
      <c r="K794" s="7" t="s">
        <v>31</v>
      </c>
      <c r="L794" s="7" t="s">
        <v>24</v>
      </c>
      <c r="M794" s="7" t="s">
        <v>41</v>
      </c>
      <c r="N794" s="7">
        <v>4</v>
      </c>
      <c r="O794" s="7">
        <v>26622</v>
      </c>
      <c r="P794" s="7">
        <v>95839.2</v>
      </c>
      <c r="Q794" s="9">
        <v>15427.61</v>
      </c>
      <c r="R794" s="17">
        <f t="shared" si="12"/>
        <v>0.16097390211938331</v>
      </c>
    </row>
    <row r="795" spans="2:18" x14ac:dyDescent="0.3">
      <c r="B795" s="21" t="s">
        <v>1638</v>
      </c>
      <c r="C795" s="11">
        <v>45524</v>
      </c>
      <c r="D795" s="10" t="s">
        <v>1639</v>
      </c>
      <c r="E795" s="10" t="s">
        <v>76</v>
      </c>
      <c r="F795" s="10" t="s">
        <v>37</v>
      </c>
      <c r="G795" s="10">
        <v>21</v>
      </c>
      <c r="H795" s="10" t="s">
        <v>56</v>
      </c>
      <c r="I795" s="10" t="s">
        <v>21</v>
      </c>
      <c r="J795" s="10" t="s">
        <v>22</v>
      </c>
      <c r="K795" s="10" t="s">
        <v>40</v>
      </c>
      <c r="L795" s="10" t="s">
        <v>47</v>
      </c>
      <c r="M795" s="10" t="s">
        <v>52</v>
      </c>
      <c r="N795" s="10">
        <v>2</v>
      </c>
      <c r="O795" s="10">
        <v>18821</v>
      </c>
      <c r="P795" s="10">
        <v>35759.9</v>
      </c>
      <c r="Q795" s="12">
        <v>13595.49</v>
      </c>
      <c r="R795" s="17">
        <f t="shared" si="12"/>
        <v>0.38018814370286269</v>
      </c>
    </row>
    <row r="796" spans="2:18" x14ac:dyDescent="0.3">
      <c r="B796" s="20" t="s">
        <v>1640</v>
      </c>
      <c r="C796" s="8">
        <v>45442</v>
      </c>
      <c r="D796" s="7" t="s">
        <v>1641</v>
      </c>
      <c r="E796" s="7" t="s">
        <v>76</v>
      </c>
      <c r="F796" s="7" t="s">
        <v>19</v>
      </c>
      <c r="G796" s="7">
        <v>47</v>
      </c>
      <c r="H796" s="7" t="s">
        <v>29</v>
      </c>
      <c r="I796" s="7" t="s">
        <v>21</v>
      </c>
      <c r="J796" s="7" t="s">
        <v>22</v>
      </c>
      <c r="K796" s="7" t="s">
        <v>31</v>
      </c>
      <c r="L796" s="7" t="s">
        <v>80</v>
      </c>
      <c r="M796" s="7" t="s">
        <v>41</v>
      </c>
      <c r="N796" s="7">
        <v>2</v>
      </c>
      <c r="O796" s="7">
        <v>34305</v>
      </c>
      <c r="P796" s="7">
        <v>54888</v>
      </c>
      <c r="Q796" s="9">
        <v>12630.65</v>
      </c>
      <c r="R796" s="17">
        <f t="shared" si="12"/>
        <v>0.23011678326774521</v>
      </c>
    </row>
    <row r="797" spans="2:18" x14ac:dyDescent="0.3">
      <c r="B797" s="21" t="s">
        <v>1642</v>
      </c>
      <c r="C797" s="11">
        <v>45322</v>
      </c>
      <c r="D797" s="10" t="s">
        <v>1643</v>
      </c>
      <c r="E797" s="10" t="s">
        <v>36</v>
      </c>
      <c r="F797" s="10" t="s">
        <v>19</v>
      </c>
      <c r="G797" s="10">
        <v>55</v>
      </c>
      <c r="H797" s="10" t="s">
        <v>45</v>
      </c>
      <c r="I797" s="10" t="s">
        <v>39</v>
      </c>
      <c r="J797" s="10" t="s">
        <v>30</v>
      </c>
      <c r="K797" s="10" t="s">
        <v>69</v>
      </c>
      <c r="L797" s="10" t="s">
        <v>32</v>
      </c>
      <c r="M797" s="10" t="s">
        <v>33</v>
      </c>
      <c r="N797" s="10">
        <v>4</v>
      </c>
      <c r="O797" s="10">
        <v>5599</v>
      </c>
      <c r="P797" s="10">
        <v>17916.8</v>
      </c>
      <c r="Q797" s="12">
        <v>3382.17</v>
      </c>
      <c r="R797" s="17">
        <f t="shared" si="12"/>
        <v>0.18877087426326131</v>
      </c>
    </row>
    <row r="798" spans="2:18" x14ac:dyDescent="0.3">
      <c r="B798" s="20" t="s">
        <v>1644</v>
      </c>
      <c r="C798" s="8">
        <v>45293</v>
      </c>
      <c r="D798" s="7" t="s">
        <v>1645</v>
      </c>
      <c r="E798" s="7" t="s">
        <v>28</v>
      </c>
      <c r="F798" s="7" t="s">
        <v>37</v>
      </c>
      <c r="G798" s="7">
        <v>43</v>
      </c>
      <c r="H798" s="7" t="s">
        <v>66</v>
      </c>
      <c r="I798" s="7" t="s">
        <v>21</v>
      </c>
      <c r="J798" s="7" t="s">
        <v>30</v>
      </c>
      <c r="K798" s="7" t="s">
        <v>31</v>
      </c>
      <c r="L798" s="7" t="s">
        <v>80</v>
      </c>
      <c r="M798" s="7" t="s">
        <v>52</v>
      </c>
      <c r="N798" s="7">
        <v>3</v>
      </c>
      <c r="O798" s="7">
        <v>38073</v>
      </c>
      <c r="P798" s="7">
        <v>102797.1</v>
      </c>
      <c r="Q798" s="9">
        <v>26972.78</v>
      </c>
      <c r="R798" s="17">
        <f t="shared" si="12"/>
        <v>0.26238853041574128</v>
      </c>
    </row>
    <row r="799" spans="2:18" x14ac:dyDescent="0.3">
      <c r="B799" s="21" t="s">
        <v>1646</v>
      </c>
      <c r="C799" s="11">
        <v>45332</v>
      </c>
      <c r="D799" s="10" t="s">
        <v>1647</v>
      </c>
      <c r="E799" s="10" t="s">
        <v>93</v>
      </c>
      <c r="F799" s="10" t="s">
        <v>19</v>
      </c>
      <c r="G799" s="10">
        <v>56</v>
      </c>
      <c r="H799" s="10" t="s">
        <v>29</v>
      </c>
      <c r="I799" s="10" t="s">
        <v>21</v>
      </c>
      <c r="J799" s="10" t="s">
        <v>50</v>
      </c>
      <c r="K799" s="10" t="s">
        <v>23</v>
      </c>
      <c r="L799" s="10" t="s">
        <v>60</v>
      </c>
      <c r="M799" s="10" t="s">
        <v>25</v>
      </c>
      <c r="N799" s="10">
        <v>4</v>
      </c>
      <c r="O799" s="10">
        <v>37261</v>
      </c>
      <c r="P799" s="10">
        <v>126687.4</v>
      </c>
      <c r="Q799" s="12">
        <v>22730.32</v>
      </c>
      <c r="R799" s="17">
        <f t="shared" si="12"/>
        <v>0.17942052642962125</v>
      </c>
    </row>
    <row r="800" spans="2:18" x14ac:dyDescent="0.3">
      <c r="B800" s="20" t="s">
        <v>1648</v>
      </c>
      <c r="C800" s="8">
        <v>45409</v>
      </c>
      <c r="D800" s="7" t="s">
        <v>1649</v>
      </c>
      <c r="E800" s="7" t="s">
        <v>59</v>
      </c>
      <c r="F800" s="7" t="s">
        <v>37</v>
      </c>
      <c r="G800" s="7">
        <v>59</v>
      </c>
      <c r="H800" s="7" t="s">
        <v>20</v>
      </c>
      <c r="I800" s="7" t="s">
        <v>46</v>
      </c>
      <c r="J800" s="7" t="s">
        <v>22</v>
      </c>
      <c r="K800" s="7" t="s">
        <v>31</v>
      </c>
      <c r="L800" s="7" t="s">
        <v>60</v>
      </c>
      <c r="M800" s="7" t="s">
        <v>41</v>
      </c>
      <c r="N800" s="7">
        <v>4</v>
      </c>
      <c r="O800" s="7">
        <v>17329</v>
      </c>
      <c r="P800" s="7">
        <v>62384.4</v>
      </c>
      <c r="Q800" s="9">
        <v>20616.59</v>
      </c>
      <c r="R800" s="17">
        <f t="shared" si="12"/>
        <v>0.3304766896852418</v>
      </c>
    </row>
    <row r="801" spans="2:18" x14ac:dyDescent="0.3">
      <c r="B801" s="21" t="s">
        <v>1650</v>
      </c>
      <c r="C801" s="11">
        <v>45606</v>
      </c>
      <c r="D801" s="10" t="s">
        <v>1651</v>
      </c>
      <c r="E801" s="10" t="s">
        <v>18</v>
      </c>
      <c r="F801" s="10" t="s">
        <v>37</v>
      </c>
      <c r="G801" s="10">
        <v>37</v>
      </c>
      <c r="H801" s="10" t="s">
        <v>45</v>
      </c>
      <c r="I801" s="10" t="s">
        <v>21</v>
      </c>
      <c r="J801" s="10" t="s">
        <v>22</v>
      </c>
      <c r="K801" s="10" t="s">
        <v>23</v>
      </c>
      <c r="L801" s="10" t="s">
        <v>47</v>
      </c>
      <c r="M801" s="10" t="s">
        <v>33</v>
      </c>
      <c r="N801" s="10">
        <v>3</v>
      </c>
      <c r="O801" s="10">
        <v>4572</v>
      </c>
      <c r="P801" s="10">
        <v>13030.2</v>
      </c>
      <c r="Q801" s="12">
        <v>5174.72</v>
      </c>
      <c r="R801" s="17">
        <f t="shared" si="12"/>
        <v>0.39713281453853355</v>
      </c>
    </row>
    <row r="802" spans="2:18" x14ac:dyDescent="0.3">
      <c r="B802" s="20" t="s">
        <v>1652</v>
      </c>
      <c r="C802" s="8">
        <v>45610</v>
      </c>
      <c r="D802" s="7" t="s">
        <v>1653</v>
      </c>
      <c r="E802" s="7" t="s">
        <v>55</v>
      </c>
      <c r="F802" s="7" t="s">
        <v>19</v>
      </c>
      <c r="G802" s="7">
        <v>59</v>
      </c>
      <c r="H802" s="7" t="s">
        <v>20</v>
      </c>
      <c r="I802" s="7" t="s">
        <v>46</v>
      </c>
      <c r="J802" s="7" t="s">
        <v>22</v>
      </c>
      <c r="K802" s="7" t="s">
        <v>31</v>
      </c>
      <c r="L802" s="7" t="s">
        <v>80</v>
      </c>
      <c r="M802" s="7" t="s">
        <v>33</v>
      </c>
      <c r="N802" s="7">
        <v>1</v>
      </c>
      <c r="O802" s="7">
        <v>17486</v>
      </c>
      <c r="P802" s="7">
        <v>15737.4</v>
      </c>
      <c r="Q802" s="9">
        <v>4251.2</v>
      </c>
      <c r="R802" s="17">
        <f t="shared" si="12"/>
        <v>0.2701335671711973</v>
      </c>
    </row>
    <row r="803" spans="2:18" x14ac:dyDescent="0.3">
      <c r="B803" s="21" t="s">
        <v>1654</v>
      </c>
      <c r="C803" s="11">
        <v>45586</v>
      </c>
      <c r="D803" s="10" t="s">
        <v>1655</v>
      </c>
      <c r="E803" s="10" t="s">
        <v>18</v>
      </c>
      <c r="F803" s="10" t="s">
        <v>19</v>
      </c>
      <c r="G803" s="10">
        <v>41</v>
      </c>
      <c r="H803" s="10" t="s">
        <v>38</v>
      </c>
      <c r="I803" s="10" t="s">
        <v>39</v>
      </c>
      <c r="J803" s="10" t="s">
        <v>50</v>
      </c>
      <c r="K803" s="10" t="s">
        <v>31</v>
      </c>
      <c r="L803" s="10" t="s">
        <v>47</v>
      </c>
      <c r="M803" s="10" t="s">
        <v>52</v>
      </c>
      <c r="N803" s="10">
        <v>3</v>
      </c>
      <c r="O803" s="10">
        <v>49638</v>
      </c>
      <c r="P803" s="10">
        <v>119131.2</v>
      </c>
      <c r="Q803" s="12">
        <v>35781.14</v>
      </c>
      <c r="R803" s="17">
        <f t="shared" si="12"/>
        <v>0.30035070577648842</v>
      </c>
    </row>
    <row r="804" spans="2:18" x14ac:dyDescent="0.3">
      <c r="B804" s="20" t="s">
        <v>1656</v>
      </c>
      <c r="C804" s="8">
        <v>45388</v>
      </c>
      <c r="D804" s="7" t="s">
        <v>1657</v>
      </c>
      <c r="E804" s="7" t="s">
        <v>55</v>
      </c>
      <c r="F804" s="7" t="s">
        <v>37</v>
      </c>
      <c r="G804" s="7">
        <v>57</v>
      </c>
      <c r="H804" s="7" t="s">
        <v>20</v>
      </c>
      <c r="I804" s="7" t="s">
        <v>21</v>
      </c>
      <c r="J804" s="7" t="s">
        <v>30</v>
      </c>
      <c r="K804" s="7" t="s">
        <v>23</v>
      </c>
      <c r="L804" s="7" t="s">
        <v>80</v>
      </c>
      <c r="M804" s="7" t="s">
        <v>52</v>
      </c>
      <c r="N804" s="7">
        <v>1</v>
      </c>
      <c r="O804" s="7">
        <v>45936</v>
      </c>
      <c r="P804" s="7">
        <v>39045.599999999999</v>
      </c>
      <c r="Q804" s="9">
        <v>14157.99</v>
      </c>
      <c r="R804" s="17">
        <f t="shared" si="12"/>
        <v>0.36260141987829614</v>
      </c>
    </row>
    <row r="805" spans="2:18" x14ac:dyDescent="0.3">
      <c r="B805" s="21" t="s">
        <v>1658</v>
      </c>
      <c r="C805" s="11">
        <v>45617</v>
      </c>
      <c r="D805" s="10" t="s">
        <v>1659</v>
      </c>
      <c r="E805" s="10" t="s">
        <v>93</v>
      </c>
      <c r="F805" s="10" t="s">
        <v>37</v>
      </c>
      <c r="G805" s="10">
        <v>22</v>
      </c>
      <c r="H805" s="10" t="s">
        <v>29</v>
      </c>
      <c r="I805" s="10" t="s">
        <v>21</v>
      </c>
      <c r="J805" s="10" t="s">
        <v>30</v>
      </c>
      <c r="K805" s="10" t="s">
        <v>31</v>
      </c>
      <c r="L805" s="10" t="s">
        <v>80</v>
      </c>
      <c r="M805" s="10" t="s">
        <v>33</v>
      </c>
      <c r="N805" s="10">
        <v>4</v>
      </c>
      <c r="O805" s="10">
        <v>20550</v>
      </c>
      <c r="P805" s="10">
        <v>73980</v>
      </c>
      <c r="Q805" s="12">
        <v>24666.65</v>
      </c>
      <c r="R805" s="17">
        <f t="shared" si="12"/>
        <v>0.33342322249256556</v>
      </c>
    </row>
    <row r="806" spans="2:18" x14ac:dyDescent="0.3">
      <c r="B806" s="20" t="s">
        <v>1660</v>
      </c>
      <c r="C806" s="8">
        <v>45365</v>
      </c>
      <c r="D806" s="7" t="s">
        <v>1661</v>
      </c>
      <c r="E806" s="7" t="s">
        <v>18</v>
      </c>
      <c r="F806" s="7" t="s">
        <v>19</v>
      </c>
      <c r="G806" s="7">
        <v>44</v>
      </c>
      <c r="H806" s="7" t="s">
        <v>66</v>
      </c>
      <c r="I806" s="7" t="s">
        <v>39</v>
      </c>
      <c r="J806" s="7" t="s">
        <v>50</v>
      </c>
      <c r="K806" s="7" t="s">
        <v>23</v>
      </c>
      <c r="L806" s="7" t="s">
        <v>60</v>
      </c>
      <c r="M806" s="7" t="s">
        <v>41</v>
      </c>
      <c r="N806" s="7">
        <v>3</v>
      </c>
      <c r="O806" s="7">
        <v>22328</v>
      </c>
      <c r="P806" s="7">
        <v>56936.4</v>
      </c>
      <c r="Q806" s="9">
        <v>21678.53</v>
      </c>
      <c r="R806" s="17">
        <f t="shared" si="12"/>
        <v>0.38074992447713585</v>
      </c>
    </row>
    <row r="807" spans="2:18" x14ac:dyDescent="0.3">
      <c r="B807" s="21" t="s">
        <v>1662</v>
      </c>
      <c r="C807" s="11">
        <v>45651</v>
      </c>
      <c r="D807" s="10" t="s">
        <v>1663</v>
      </c>
      <c r="E807" s="10" t="s">
        <v>18</v>
      </c>
      <c r="F807" s="10" t="s">
        <v>19</v>
      </c>
      <c r="G807" s="10">
        <v>46</v>
      </c>
      <c r="H807" s="10" t="s">
        <v>38</v>
      </c>
      <c r="I807" s="10" t="s">
        <v>39</v>
      </c>
      <c r="J807" s="10" t="s">
        <v>30</v>
      </c>
      <c r="K807" s="10" t="s">
        <v>40</v>
      </c>
      <c r="L807" s="10" t="s">
        <v>24</v>
      </c>
      <c r="M807" s="10" t="s">
        <v>41</v>
      </c>
      <c r="N807" s="10">
        <v>1</v>
      </c>
      <c r="O807" s="10">
        <v>16460</v>
      </c>
      <c r="P807" s="10">
        <v>15637</v>
      </c>
      <c r="Q807" s="12">
        <v>4923.53</v>
      </c>
      <c r="R807" s="17">
        <f t="shared" si="12"/>
        <v>0.31486410436784545</v>
      </c>
    </row>
    <row r="808" spans="2:18" x14ac:dyDescent="0.3">
      <c r="B808" s="20" t="s">
        <v>1664</v>
      </c>
      <c r="C808" s="8">
        <v>45590</v>
      </c>
      <c r="D808" s="7" t="s">
        <v>1665</v>
      </c>
      <c r="E808" s="7" t="s">
        <v>55</v>
      </c>
      <c r="F808" s="7" t="s">
        <v>19</v>
      </c>
      <c r="G808" s="7">
        <v>23</v>
      </c>
      <c r="H808" s="7" t="s">
        <v>56</v>
      </c>
      <c r="I808" s="7" t="s">
        <v>21</v>
      </c>
      <c r="J808" s="7" t="s">
        <v>50</v>
      </c>
      <c r="K808" s="7" t="s">
        <v>69</v>
      </c>
      <c r="L808" s="7" t="s">
        <v>32</v>
      </c>
      <c r="M808" s="7" t="s">
        <v>33</v>
      </c>
      <c r="N808" s="7">
        <v>4</v>
      </c>
      <c r="O808" s="7">
        <v>4909</v>
      </c>
      <c r="P808" s="7">
        <v>16690.599999999999</v>
      </c>
      <c r="Q808" s="9">
        <v>3166.02</v>
      </c>
      <c r="R808" s="17">
        <f t="shared" si="12"/>
        <v>0.18968880687332992</v>
      </c>
    </row>
    <row r="809" spans="2:18" x14ac:dyDescent="0.3">
      <c r="B809" s="21" t="s">
        <v>1666</v>
      </c>
      <c r="C809" s="11">
        <v>45350</v>
      </c>
      <c r="D809" s="10" t="s">
        <v>1667</v>
      </c>
      <c r="E809" s="10" t="s">
        <v>18</v>
      </c>
      <c r="F809" s="10" t="s">
        <v>19</v>
      </c>
      <c r="G809" s="10">
        <v>28</v>
      </c>
      <c r="H809" s="10" t="s">
        <v>29</v>
      </c>
      <c r="I809" s="10" t="s">
        <v>21</v>
      </c>
      <c r="J809" s="10" t="s">
        <v>50</v>
      </c>
      <c r="K809" s="10" t="s">
        <v>23</v>
      </c>
      <c r="L809" s="10" t="s">
        <v>32</v>
      </c>
      <c r="M809" s="10" t="s">
        <v>41</v>
      </c>
      <c r="N809" s="10">
        <v>5</v>
      </c>
      <c r="O809" s="10">
        <v>36408</v>
      </c>
      <c r="P809" s="10">
        <v>163836</v>
      </c>
      <c r="Q809" s="12">
        <v>33485.230000000003</v>
      </c>
      <c r="R809" s="17">
        <f t="shared" si="12"/>
        <v>0.20438261432163873</v>
      </c>
    </row>
    <row r="810" spans="2:18" x14ac:dyDescent="0.3">
      <c r="B810" s="20" t="s">
        <v>1668</v>
      </c>
      <c r="C810" s="8">
        <v>45582</v>
      </c>
      <c r="D810" s="7" t="s">
        <v>1669</v>
      </c>
      <c r="E810" s="7" t="s">
        <v>36</v>
      </c>
      <c r="F810" s="7" t="s">
        <v>19</v>
      </c>
      <c r="G810" s="7">
        <v>44</v>
      </c>
      <c r="H810" s="7" t="s">
        <v>20</v>
      </c>
      <c r="I810" s="7" t="s">
        <v>21</v>
      </c>
      <c r="J810" s="7" t="s">
        <v>30</v>
      </c>
      <c r="K810" s="7" t="s">
        <v>40</v>
      </c>
      <c r="L810" s="7" t="s">
        <v>60</v>
      </c>
      <c r="M810" s="7" t="s">
        <v>52</v>
      </c>
      <c r="N810" s="7">
        <v>1</v>
      </c>
      <c r="O810" s="7">
        <v>16251</v>
      </c>
      <c r="P810" s="7">
        <v>13813.35</v>
      </c>
      <c r="Q810" s="9">
        <v>3897.08</v>
      </c>
      <c r="R810" s="17">
        <f t="shared" si="12"/>
        <v>0.28212417697372466</v>
      </c>
    </row>
    <row r="811" spans="2:18" x14ac:dyDescent="0.3">
      <c r="B811" s="21" t="s">
        <v>1670</v>
      </c>
      <c r="C811" s="11">
        <v>45528</v>
      </c>
      <c r="D811" s="10" t="s">
        <v>1671</v>
      </c>
      <c r="E811" s="10" t="s">
        <v>93</v>
      </c>
      <c r="F811" s="10" t="s">
        <v>37</v>
      </c>
      <c r="G811" s="10">
        <v>49</v>
      </c>
      <c r="H811" s="10" t="s">
        <v>29</v>
      </c>
      <c r="I811" s="10" t="s">
        <v>21</v>
      </c>
      <c r="J811" s="10" t="s">
        <v>22</v>
      </c>
      <c r="K811" s="10" t="s">
        <v>69</v>
      </c>
      <c r="L811" s="10" t="s">
        <v>60</v>
      </c>
      <c r="M811" s="10" t="s">
        <v>41</v>
      </c>
      <c r="N811" s="10">
        <v>4</v>
      </c>
      <c r="O811" s="10">
        <v>49218</v>
      </c>
      <c r="P811" s="10">
        <v>167341.20000000001</v>
      </c>
      <c r="Q811" s="12">
        <v>28858.79</v>
      </c>
      <c r="R811" s="17">
        <f t="shared" si="12"/>
        <v>0.17245478101029513</v>
      </c>
    </row>
    <row r="812" spans="2:18" x14ac:dyDescent="0.3">
      <c r="B812" s="20" t="s">
        <v>1672</v>
      </c>
      <c r="C812" s="8">
        <v>45454</v>
      </c>
      <c r="D812" s="7" t="s">
        <v>1673</v>
      </c>
      <c r="E812" s="7" t="s">
        <v>93</v>
      </c>
      <c r="F812" s="7" t="s">
        <v>19</v>
      </c>
      <c r="G812" s="7">
        <v>55</v>
      </c>
      <c r="H812" s="7" t="s">
        <v>56</v>
      </c>
      <c r="I812" s="7" t="s">
        <v>21</v>
      </c>
      <c r="J812" s="7" t="s">
        <v>30</v>
      </c>
      <c r="K812" s="7" t="s">
        <v>51</v>
      </c>
      <c r="L812" s="7" t="s">
        <v>80</v>
      </c>
      <c r="M812" s="7" t="s">
        <v>41</v>
      </c>
      <c r="N812" s="7">
        <v>5</v>
      </c>
      <c r="O812" s="7">
        <v>4178</v>
      </c>
      <c r="P812" s="7">
        <v>19845.5</v>
      </c>
      <c r="Q812" s="9">
        <v>3420.41</v>
      </c>
      <c r="R812" s="17">
        <f t="shared" si="12"/>
        <v>0.17235191857096066</v>
      </c>
    </row>
    <row r="813" spans="2:18" x14ac:dyDescent="0.3">
      <c r="B813" s="21" t="s">
        <v>1674</v>
      </c>
      <c r="C813" s="11">
        <v>45559</v>
      </c>
      <c r="D813" s="10" t="s">
        <v>1675</v>
      </c>
      <c r="E813" s="10" t="s">
        <v>65</v>
      </c>
      <c r="F813" s="10" t="s">
        <v>37</v>
      </c>
      <c r="G813" s="10">
        <v>52</v>
      </c>
      <c r="H813" s="10" t="s">
        <v>56</v>
      </c>
      <c r="I813" s="10" t="s">
        <v>21</v>
      </c>
      <c r="J813" s="10" t="s">
        <v>30</v>
      </c>
      <c r="K813" s="10" t="s">
        <v>23</v>
      </c>
      <c r="L813" s="10" t="s">
        <v>47</v>
      </c>
      <c r="M813" s="10" t="s">
        <v>52</v>
      </c>
      <c r="N813" s="10">
        <v>3</v>
      </c>
      <c r="O813" s="10">
        <v>29806</v>
      </c>
      <c r="P813" s="10">
        <v>71534.399999999994</v>
      </c>
      <c r="Q813" s="12">
        <v>17469.330000000002</v>
      </c>
      <c r="R813" s="17">
        <f t="shared" si="12"/>
        <v>0.24420880024156214</v>
      </c>
    </row>
    <row r="814" spans="2:18" x14ac:dyDescent="0.3">
      <c r="B814" s="20" t="s">
        <v>1676</v>
      </c>
      <c r="C814" s="8">
        <v>45312</v>
      </c>
      <c r="D814" s="7" t="s">
        <v>1677</v>
      </c>
      <c r="E814" s="7" t="s">
        <v>36</v>
      </c>
      <c r="F814" s="7" t="s">
        <v>37</v>
      </c>
      <c r="G814" s="7">
        <v>38</v>
      </c>
      <c r="H814" s="7" t="s">
        <v>66</v>
      </c>
      <c r="I814" s="7" t="s">
        <v>21</v>
      </c>
      <c r="J814" s="7" t="s">
        <v>30</v>
      </c>
      <c r="K814" s="7" t="s">
        <v>51</v>
      </c>
      <c r="L814" s="7" t="s">
        <v>47</v>
      </c>
      <c r="M814" s="7" t="s">
        <v>52</v>
      </c>
      <c r="N814" s="7">
        <v>5</v>
      </c>
      <c r="O814" s="7">
        <v>31096</v>
      </c>
      <c r="P814" s="7">
        <v>155480</v>
      </c>
      <c r="Q814" s="9">
        <v>60570.31</v>
      </c>
      <c r="R814" s="17">
        <f t="shared" si="12"/>
        <v>0.38956978389503472</v>
      </c>
    </row>
    <row r="815" spans="2:18" x14ac:dyDescent="0.3">
      <c r="B815" s="21" t="s">
        <v>1678</v>
      </c>
      <c r="C815" s="11">
        <v>45462</v>
      </c>
      <c r="D815" s="10" t="s">
        <v>1679</v>
      </c>
      <c r="E815" s="10" t="s">
        <v>44</v>
      </c>
      <c r="F815" s="10" t="s">
        <v>19</v>
      </c>
      <c r="G815" s="10">
        <v>47</v>
      </c>
      <c r="H815" s="10" t="s">
        <v>45</v>
      </c>
      <c r="I815" s="10" t="s">
        <v>39</v>
      </c>
      <c r="J815" s="10" t="s">
        <v>30</v>
      </c>
      <c r="K815" s="10" t="s">
        <v>40</v>
      </c>
      <c r="L815" s="10" t="s">
        <v>47</v>
      </c>
      <c r="M815" s="10" t="s">
        <v>25</v>
      </c>
      <c r="N815" s="10">
        <v>4</v>
      </c>
      <c r="O815" s="10">
        <v>4509</v>
      </c>
      <c r="P815" s="10">
        <v>15330.6</v>
      </c>
      <c r="Q815" s="12">
        <v>4689.84</v>
      </c>
      <c r="R815" s="17">
        <f t="shared" si="12"/>
        <v>0.30591366287033778</v>
      </c>
    </row>
    <row r="816" spans="2:18" x14ac:dyDescent="0.3">
      <c r="B816" s="20" t="s">
        <v>1680</v>
      </c>
      <c r="C816" s="8">
        <v>45384</v>
      </c>
      <c r="D816" s="7" t="s">
        <v>1681</v>
      </c>
      <c r="E816" s="7" t="s">
        <v>36</v>
      </c>
      <c r="F816" s="7" t="s">
        <v>37</v>
      </c>
      <c r="G816" s="7">
        <v>47</v>
      </c>
      <c r="H816" s="7" t="s">
        <v>38</v>
      </c>
      <c r="I816" s="7" t="s">
        <v>39</v>
      </c>
      <c r="J816" s="7" t="s">
        <v>22</v>
      </c>
      <c r="K816" s="7" t="s">
        <v>40</v>
      </c>
      <c r="L816" s="7" t="s">
        <v>80</v>
      </c>
      <c r="M816" s="7" t="s">
        <v>25</v>
      </c>
      <c r="N816" s="7">
        <v>3</v>
      </c>
      <c r="O816" s="7">
        <v>45168</v>
      </c>
      <c r="P816" s="7">
        <v>115178.4</v>
      </c>
      <c r="Q816" s="9">
        <v>18496.97</v>
      </c>
      <c r="R816" s="17">
        <f t="shared" si="12"/>
        <v>0.16059408708577305</v>
      </c>
    </row>
    <row r="817" spans="2:18" x14ac:dyDescent="0.3">
      <c r="B817" s="21" t="s">
        <v>1682</v>
      </c>
      <c r="C817" s="11">
        <v>45327</v>
      </c>
      <c r="D817" s="10" t="s">
        <v>1683</v>
      </c>
      <c r="E817" s="10" t="s">
        <v>93</v>
      </c>
      <c r="F817" s="10" t="s">
        <v>19</v>
      </c>
      <c r="G817" s="10">
        <v>21</v>
      </c>
      <c r="H817" s="10" t="s">
        <v>56</v>
      </c>
      <c r="I817" s="10" t="s">
        <v>21</v>
      </c>
      <c r="J817" s="10" t="s">
        <v>30</v>
      </c>
      <c r="K817" s="10" t="s">
        <v>23</v>
      </c>
      <c r="L817" s="10" t="s">
        <v>32</v>
      </c>
      <c r="M817" s="10" t="s">
        <v>25</v>
      </c>
      <c r="N817" s="10">
        <v>5</v>
      </c>
      <c r="O817" s="10">
        <v>48720</v>
      </c>
      <c r="P817" s="10">
        <v>219240</v>
      </c>
      <c r="Q817" s="12">
        <v>70101.570000000007</v>
      </c>
      <c r="R817" s="17">
        <f t="shared" si="12"/>
        <v>0.31974808429118778</v>
      </c>
    </row>
    <row r="818" spans="2:18" x14ac:dyDescent="0.3">
      <c r="B818" s="20" t="s">
        <v>1684</v>
      </c>
      <c r="C818" s="8">
        <v>45579</v>
      </c>
      <c r="D818" s="7" t="s">
        <v>1685</v>
      </c>
      <c r="E818" s="7" t="s">
        <v>55</v>
      </c>
      <c r="F818" s="7" t="s">
        <v>19</v>
      </c>
      <c r="G818" s="7">
        <v>47</v>
      </c>
      <c r="H818" s="7" t="s">
        <v>66</v>
      </c>
      <c r="I818" s="7" t="s">
        <v>39</v>
      </c>
      <c r="J818" s="7" t="s">
        <v>50</v>
      </c>
      <c r="K818" s="7" t="s">
        <v>31</v>
      </c>
      <c r="L818" s="7" t="s">
        <v>47</v>
      </c>
      <c r="M818" s="7" t="s">
        <v>41</v>
      </c>
      <c r="N818" s="7">
        <v>4</v>
      </c>
      <c r="O818" s="7">
        <v>9585</v>
      </c>
      <c r="P818" s="7">
        <v>38340</v>
      </c>
      <c r="Q818" s="9">
        <v>7994.29</v>
      </c>
      <c r="R818" s="17">
        <f t="shared" si="12"/>
        <v>0.20851043296817945</v>
      </c>
    </row>
    <row r="819" spans="2:18" x14ac:dyDescent="0.3">
      <c r="B819" s="21" t="s">
        <v>1686</v>
      </c>
      <c r="C819" s="11">
        <v>45337</v>
      </c>
      <c r="D819" s="10" t="s">
        <v>1687</v>
      </c>
      <c r="E819" s="10" t="s">
        <v>76</v>
      </c>
      <c r="F819" s="10" t="s">
        <v>37</v>
      </c>
      <c r="G819" s="10">
        <v>18</v>
      </c>
      <c r="H819" s="10" t="s">
        <v>56</v>
      </c>
      <c r="I819" s="10" t="s">
        <v>39</v>
      </c>
      <c r="J819" s="10" t="s">
        <v>50</v>
      </c>
      <c r="K819" s="10" t="s">
        <v>51</v>
      </c>
      <c r="L819" s="10" t="s">
        <v>24</v>
      </c>
      <c r="M819" s="10" t="s">
        <v>52</v>
      </c>
      <c r="N819" s="10">
        <v>4</v>
      </c>
      <c r="O819" s="10">
        <v>31805</v>
      </c>
      <c r="P819" s="10">
        <v>127220</v>
      </c>
      <c r="Q819" s="12">
        <v>41591.019999999997</v>
      </c>
      <c r="R819" s="17">
        <f t="shared" si="12"/>
        <v>0.32692202483886179</v>
      </c>
    </row>
    <row r="820" spans="2:18" x14ac:dyDescent="0.3">
      <c r="B820" s="20" t="s">
        <v>1688</v>
      </c>
      <c r="C820" s="8">
        <v>45538</v>
      </c>
      <c r="D820" s="7" t="s">
        <v>1689</v>
      </c>
      <c r="E820" s="7" t="s">
        <v>79</v>
      </c>
      <c r="F820" s="7" t="s">
        <v>37</v>
      </c>
      <c r="G820" s="7">
        <v>41</v>
      </c>
      <c r="H820" s="7" t="s">
        <v>45</v>
      </c>
      <c r="I820" s="7" t="s">
        <v>39</v>
      </c>
      <c r="J820" s="7" t="s">
        <v>50</v>
      </c>
      <c r="K820" s="7" t="s">
        <v>69</v>
      </c>
      <c r="L820" s="7" t="s">
        <v>60</v>
      </c>
      <c r="M820" s="7" t="s">
        <v>52</v>
      </c>
      <c r="N820" s="7">
        <v>1</v>
      </c>
      <c r="O820" s="7">
        <v>41572</v>
      </c>
      <c r="P820" s="7">
        <v>41572</v>
      </c>
      <c r="Q820" s="9">
        <v>7433.78</v>
      </c>
      <c r="R820" s="17">
        <f t="shared" si="12"/>
        <v>0.17881699220629269</v>
      </c>
    </row>
    <row r="821" spans="2:18" x14ac:dyDescent="0.3">
      <c r="B821" s="21" t="s">
        <v>1690</v>
      </c>
      <c r="C821" s="11">
        <v>45458</v>
      </c>
      <c r="D821" s="10" t="s">
        <v>1691</v>
      </c>
      <c r="E821" s="10" t="s">
        <v>28</v>
      </c>
      <c r="F821" s="10" t="s">
        <v>19</v>
      </c>
      <c r="G821" s="10">
        <v>29</v>
      </c>
      <c r="H821" s="10" t="s">
        <v>45</v>
      </c>
      <c r="I821" s="10" t="s">
        <v>21</v>
      </c>
      <c r="J821" s="10" t="s">
        <v>22</v>
      </c>
      <c r="K821" s="10" t="s">
        <v>69</v>
      </c>
      <c r="L821" s="10" t="s">
        <v>47</v>
      </c>
      <c r="M821" s="10" t="s">
        <v>25</v>
      </c>
      <c r="N821" s="10">
        <v>2</v>
      </c>
      <c r="O821" s="10">
        <v>25864</v>
      </c>
      <c r="P821" s="10">
        <v>43968.800000000003</v>
      </c>
      <c r="Q821" s="12">
        <v>16742.12</v>
      </c>
      <c r="R821" s="17">
        <f t="shared" si="12"/>
        <v>0.38077272975382537</v>
      </c>
    </row>
    <row r="822" spans="2:18" x14ac:dyDescent="0.3">
      <c r="B822" s="20" t="s">
        <v>1692</v>
      </c>
      <c r="C822" s="8">
        <v>45478</v>
      </c>
      <c r="D822" s="7" t="s">
        <v>1693</v>
      </c>
      <c r="E822" s="7" t="s">
        <v>93</v>
      </c>
      <c r="F822" s="7" t="s">
        <v>19</v>
      </c>
      <c r="G822" s="7">
        <v>35</v>
      </c>
      <c r="H822" s="7" t="s">
        <v>66</v>
      </c>
      <c r="I822" s="7" t="s">
        <v>21</v>
      </c>
      <c r="J822" s="7" t="s">
        <v>22</v>
      </c>
      <c r="K822" s="7" t="s">
        <v>23</v>
      </c>
      <c r="L822" s="7" t="s">
        <v>32</v>
      </c>
      <c r="M822" s="7" t="s">
        <v>52</v>
      </c>
      <c r="N822" s="7">
        <v>2</v>
      </c>
      <c r="O822" s="7">
        <v>39397</v>
      </c>
      <c r="P822" s="7">
        <v>74854.3</v>
      </c>
      <c r="Q822" s="9">
        <v>13202.37</v>
      </c>
      <c r="R822" s="17">
        <f t="shared" si="12"/>
        <v>0.17637423634981558</v>
      </c>
    </row>
    <row r="823" spans="2:18" x14ac:dyDescent="0.3">
      <c r="B823" s="21" t="s">
        <v>1694</v>
      </c>
      <c r="C823" s="11">
        <v>45410</v>
      </c>
      <c r="D823" s="10" t="s">
        <v>1695</v>
      </c>
      <c r="E823" s="10" t="s">
        <v>28</v>
      </c>
      <c r="F823" s="10" t="s">
        <v>37</v>
      </c>
      <c r="G823" s="10">
        <v>31</v>
      </c>
      <c r="H823" s="10" t="s">
        <v>20</v>
      </c>
      <c r="I823" s="10" t="s">
        <v>39</v>
      </c>
      <c r="J823" s="10" t="s">
        <v>50</v>
      </c>
      <c r="K823" s="10" t="s">
        <v>69</v>
      </c>
      <c r="L823" s="10" t="s">
        <v>24</v>
      </c>
      <c r="M823" s="10" t="s">
        <v>25</v>
      </c>
      <c r="N823" s="10">
        <v>5</v>
      </c>
      <c r="O823" s="10">
        <v>21500</v>
      </c>
      <c r="P823" s="10">
        <v>86000</v>
      </c>
      <c r="Q823" s="12">
        <v>22002.76</v>
      </c>
      <c r="R823" s="17">
        <f t="shared" si="12"/>
        <v>0.2558460465116279</v>
      </c>
    </row>
    <row r="824" spans="2:18" x14ac:dyDescent="0.3">
      <c r="B824" s="20" t="s">
        <v>1696</v>
      </c>
      <c r="C824" s="8">
        <v>45559</v>
      </c>
      <c r="D824" s="7" t="s">
        <v>1697</v>
      </c>
      <c r="E824" s="7" t="s">
        <v>79</v>
      </c>
      <c r="F824" s="7" t="s">
        <v>19</v>
      </c>
      <c r="G824" s="7">
        <v>32</v>
      </c>
      <c r="H824" s="7" t="s">
        <v>66</v>
      </c>
      <c r="I824" s="7" t="s">
        <v>46</v>
      </c>
      <c r="J824" s="7" t="s">
        <v>30</v>
      </c>
      <c r="K824" s="7" t="s">
        <v>23</v>
      </c>
      <c r="L824" s="7" t="s">
        <v>47</v>
      </c>
      <c r="M824" s="7" t="s">
        <v>52</v>
      </c>
      <c r="N824" s="7">
        <v>3</v>
      </c>
      <c r="O824" s="7">
        <v>8512</v>
      </c>
      <c r="P824" s="7">
        <v>22982.400000000001</v>
      </c>
      <c r="Q824" s="9">
        <v>8012.68</v>
      </c>
      <c r="R824" s="17">
        <f t="shared" si="12"/>
        <v>0.3486441798941799</v>
      </c>
    </row>
    <row r="825" spans="2:18" x14ac:dyDescent="0.3">
      <c r="B825" s="21" t="s">
        <v>1698</v>
      </c>
      <c r="C825" s="11">
        <v>45459</v>
      </c>
      <c r="D825" s="10" t="s">
        <v>1699</v>
      </c>
      <c r="E825" s="10" t="s">
        <v>18</v>
      </c>
      <c r="F825" s="10" t="s">
        <v>19</v>
      </c>
      <c r="G825" s="10">
        <v>38</v>
      </c>
      <c r="H825" s="10" t="s">
        <v>66</v>
      </c>
      <c r="I825" s="10" t="s">
        <v>21</v>
      </c>
      <c r="J825" s="10" t="s">
        <v>50</v>
      </c>
      <c r="K825" s="10" t="s">
        <v>69</v>
      </c>
      <c r="L825" s="10" t="s">
        <v>32</v>
      </c>
      <c r="M825" s="10" t="s">
        <v>33</v>
      </c>
      <c r="N825" s="10">
        <v>1</v>
      </c>
      <c r="O825" s="10">
        <v>36548</v>
      </c>
      <c r="P825" s="10">
        <v>29238.400000000001</v>
      </c>
      <c r="Q825" s="12">
        <v>5850.81</v>
      </c>
      <c r="R825" s="17">
        <f t="shared" si="12"/>
        <v>0.20010705100142279</v>
      </c>
    </row>
    <row r="826" spans="2:18" x14ac:dyDescent="0.3">
      <c r="B826" s="20" t="s">
        <v>1700</v>
      </c>
      <c r="C826" s="8">
        <v>45322</v>
      </c>
      <c r="D826" s="7" t="s">
        <v>1701</v>
      </c>
      <c r="E826" s="7" t="s">
        <v>93</v>
      </c>
      <c r="F826" s="7" t="s">
        <v>19</v>
      </c>
      <c r="G826" s="7">
        <v>51</v>
      </c>
      <c r="H826" s="7" t="s">
        <v>45</v>
      </c>
      <c r="I826" s="7" t="s">
        <v>39</v>
      </c>
      <c r="J826" s="7" t="s">
        <v>22</v>
      </c>
      <c r="K826" s="7" t="s">
        <v>31</v>
      </c>
      <c r="L826" s="7" t="s">
        <v>32</v>
      </c>
      <c r="M826" s="7" t="s">
        <v>41</v>
      </c>
      <c r="N826" s="7">
        <v>3</v>
      </c>
      <c r="O826" s="7">
        <v>31877</v>
      </c>
      <c r="P826" s="7">
        <v>95631</v>
      </c>
      <c r="Q826" s="9">
        <v>22071.93</v>
      </c>
      <c r="R826" s="17">
        <f t="shared" si="12"/>
        <v>0.23080308686513787</v>
      </c>
    </row>
    <row r="827" spans="2:18" x14ac:dyDescent="0.3">
      <c r="B827" s="21" t="s">
        <v>1702</v>
      </c>
      <c r="C827" s="11">
        <v>45601</v>
      </c>
      <c r="D827" s="10" t="s">
        <v>1703</v>
      </c>
      <c r="E827" s="10" t="s">
        <v>55</v>
      </c>
      <c r="F827" s="10" t="s">
        <v>19</v>
      </c>
      <c r="G827" s="10">
        <v>21</v>
      </c>
      <c r="H827" s="10" t="s">
        <v>38</v>
      </c>
      <c r="I827" s="10" t="s">
        <v>46</v>
      </c>
      <c r="J827" s="10" t="s">
        <v>30</v>
      </c>
      <c r="K827" s="10" t="s">
        <v>69</v>
      </c>
      <c r="L827" s="10" t="s">
        <v>24</v>
      </c>
      <c r="M827" s="10" t="s">
        <v>25</v>
      </c>
      <c r="N827" s="10">
        <v>5</v>
      </c>
      <c r="O827" s="10">
        <v>10303</v>
      </c>
      <c r="P827" s="10">
        <v>46363.5</v>
      </c>
      <c r="Q827" s="12">
        <v>14492.17</v>
      </c>
      <c r="R827" s="17">
        <f t="shared" si="12"/>
        <v>0.31257713503078932</v>
      </c>
    </row>
    <row r="828" spans="2:18" x14ac:dyDescent="0.3">
      <c r="B828" s="20" t="s">
        <v>1704</v>
      </c>
      <c r="C828" s="8">
        <v>45355</v>
      </c>
      <c r="D828" s="7" t="s">
        <v>1705</v>
      </c>
      <c r="E828" s="7" t="s">
        <v>44</v>
      </c>
      <c r="F828" s="7" t="s">
        <v>37</v>
      </c>
      <c r="G828" s="7">
        <v>50</v>
      </c>
      <c r="H828" s="7" t="s">
        <v>20</v>
      </c>
      <c r="I828" s="7" t="s">
        <v>21</v>
      </c>
      <c r="J828" s="7" t="s">
        <v>30</v>
      </c>
      <c r="K828" s="7" t="s">
        <v>23</v>
      </c>
      <c r="L828" s="7" t="s">
        <v>47</v>
      </c>
      <c r="M828" s="7" t="s">
        <v>25</v>
      </c>
      <c r="N828" s="7">
        <v>3</v>
      </c>
      <c r="O828" s="7">
        <v>9240</v>
      </c>
      <c r="P828" s="7">
        <v>24948</v>
      </c>
      <c r="Q828" s="9">
        <v>5095.2299999999996</v>
      </c>
      <c r="R828" s="17">
        <f t="shared" si="12"/>
        <v>0.20423400673400671</v>
      </c>
    </row>
    <row r="829" spans="2:18" x14ac:dyDescent="0.3">
      <c r="B829" s="21" t="s">
        <v>1706</v>
      </c>
      <c r="C829" s="11">
        <v>45425</v>
      </c>
      <c r="D829" s="10" t="s">
        <v>1707</v>
      </c>
      <c r="E829" s="10" t="s">
        <v>65</v>
      </c>
      <c r="F829" s="10" t="s">
        <v>37</v>
      </c>
      <c r="G829" s="10">
        <v>57</v>
      </c>
      <c r="H829" s="10" t="s">
        <v>45</v>
      </c>
      <c r="I829" s="10" t="s">
        <v>39</v>
      </c>
      <c r="J829" s="10" t="s">
        <v>22</v>
      </c>
      <c r="K829" s="10" t="s">
        <v>23</v>
      </c>
      <c r="L829" s="10" t="s">
        <v>60</v>
      </c>
      <c r="M829" s="10" t="s">
        <v>33</v>
      </c>
      <c r="N829" s="10">
        <v>4</v>
      </c>
      <c r="O829" s="10">
        <v>14793</v>
      </c>
      <c r="P829" s="10">
        <v>53254.8</v>
      </c>
      <c r="Q829" s="12">
        <v>13211.74</v>
      </c>
      <c r="R829" s="17">
        <f t="shared" si="12"/>
        <v>0.24808543079684833</v>
      </c>
    </row>
    <row r="830" spans="2:18" x14ac:dyDescent="0.3">
      <c r="B830" s="20" t="s">
        <v>1708</v>
      </c>
      <c r="C830" s="8">
        <v>45594</v>
      </c>
      <c r="D830" s="7" t="s">
        <v>1709</v>
      </c>
      <c r="E830" s="7" t="s">
        <v>18</v>
      </c>
      <c r="F830" s="7" t="s">
        <v>19</v>
      </c>
      <c r="G830" s="7">
        <v>44</v>
      </c>
      <c r="H830" s="7" t="s">
        <v>20</v>
      </c>
      <c r="I830" s="7" t="s">
        <v>21</v>
      </c>
      <c r="J830" s="7" t="s">
        <v>22</v>
      </c>
      <c r="K830" s="7" t="s">
        <v>31</v>
      </c>
      <c r="L830" s="7" t="s">
        <v>24</v>
      </c>
      <c r="M830" s="7" t="s">
        <v>33</v>
      </c>
      <c r="N830" s="7">
        <v>4</v>
      </c>
      <c r="O830" s="7">
        <v>28924</v>
      </c>
      <c r="P830" s="7">
        <v>104126.39999999999</v>
      </c>
      <c r="Q830" s="9">
        <v>15668.5</v>
      </c>
      <c r="R830" s="17">
        <f t="shared" si="12"/>
        <v>0.15047576791284439</v>
      </c>
    </row>
    <row r="831" spans="2:18" x14ac:dyDescent="0.3">
      <c r="B831" s="21" t="s">
        <v>1710</v>
      </c>
      <c r="C831" s="11">
        <v>45377</v>
      </c>
      <c r="D831" s="10" t="s">
        <v>1711</v>
      </c>
      <c r="E831" s="10" t="s">
        <v>93</v>
      </c>
      <c r="F831" s="10" t="s">
        <v>19</v>
      </c>
      <c r="G831" s="10">
        <v>20</v>
      </c>
      <c r="H831" s="10" t="s">
        <v>56</v>
      </c>
      <c r="I831" s="10" t="s">
        <v>39</v>
      </c>
      <c r="J831" s="10" t="s">
        <v>22</v>
      </c>
      <c r="K831" s="10" t="s">
        <v>40</v>
      </c>
      <c r="L831" s="10" t="s">
        <v>32</v>
      </c>
      <c r="M831" s="10" t="s">
        <v>52</v>
      </c>
      <c r="N831" s="10">
        <v>4</v>
      </c>
      <c r="O831" s="10">
        <v>43811</v>
      </c>
      <c r="P831" s="10">
        <v>148957.4</v>
      </c>
      <c r="Q831" s="12">
        <v>32745.41</v>
      </c>
      <c r="R831" s="17">
        <f t="shared" si="12"/>
        <v>0.21983070327489604</v>
      </c>
    </row>
    <row r="832" spans="2:18" x14ac:dyDescent="0.3">
      <c r="B832" s="20" t="s">
        <v>1712</v>
      </c>
      <c r="C832" s="8">
        <v>45564</v>
      </c>
      <c r="D832" s="7" t="s">
        <v>1713</v>
      </c>
      <c r="E832" s="7" t="s">
        <v>76</v>
      </c>
      <c r="F832" s="7" t="s">
        <v>37</v>
      </c>
      <c r="G832" s="7">
        <v>45</v>
      </c>
      <c r="H832" s="7" t="s">
        <v>29</v>
      </c>
      <c r="I832" s="7" t="s">
        <v>21</v>
      </c>
      <c r="J832" s="7" t="s">
        <v>50</v>
      </c>
      <c r="K832" s="7" t="s">
        <v>40</v>
      </c>
      <c r="L832" s="7" t="s">
        <v>60</v>
      </c>
      <c r="M832" s="7" t="s">
        <v>33</v>
      </c>
      <c r="N832" s="7">
        <v>3</v>
      </c>
      <c r="O832" s="7">
        <v>27295</v>
      </c>
      <c r="P832" s="7">
        <v>81885</v>
      </c>
      <c r="Q832" s="9">
        <v>15145.2</v>
      </c>
      <c r="R832" s="17">
        <f t="shared" si="12"/>
        <v>0.18495695182267816</v>
      </c>
    </row>
    <row r="833" spans="2:18" x14ac:dyDescent="0.3">
      <c r="B833" s="21" t="s">
        <v>1714</v>
      </c>
      <c r="C833" s="11">
        <v>45344</v>
      </c>
      <c r="D833" s="10" t="s">
        <v>1715</v>
      </c>
      <c r="E833" s="10" t="s">
        <v>18</v>
      </c>
      <c r="F833" s="10" t="s">
        <v>37</v>
      </c>
      <c r="G833" s="10">
        <v>52</v>
      </c>
      <c r="H833" s="10" t="s">
        <v>45</v>
      </c>
      <c r="I833" s="10" t="s">
        <v>39</v>
      </c>
      <c r="J833" s="10" t="s">
        <v>30</v>
      </c>
      <c r="K833" s="10" t="s">
        <v>31</v>
      </c>
      <c r="L833" s="10" t="s">
        <v>32</v>
      </c>
      <c r="M833" s="10" t="s">
        <v>52</v>
      </c>
      <c r="N833" s="10">
        <v>4</v>
      </c>
      <c r="O833" s="10">
        <v>12124</v>
      </c>
      <c r="P833" s="10">
        <v>48496</v>
      </c>
      <c r="Q833" s="12">
        <v>15750.39</v>
      </c>
      <c r="R833" s="17">
        <f t="shared" si="12"/>
        <v>0.32477709501814583</v>
      </c>
    </row>
    <row r="834" spans="2:18" x14ac:dyDescent="0.3">
      <c r="B834" s="20" t="s">
        <v>1716</v>
      </c>
      <c r="C834" s="8">
        <v>45609</v>
      </c>
      <c r="D834" s="7" t="s">
        <v>1717</v>
      </c>
      <c r="E834" s="7" t="s">
        <v>59</v>
      </c>
      <c r="F834" s="7" t="s">
        <v>19</v>
      </c>
      <c r="G834" s="7">
        <v>19</v>
      </c>
      <c r="H834" s="7" t="s">
        <v>20</v>
      </c>
      <c r="I834" s="7" t="s">
        <v>21</v>
      </c>
      <c r="J834" s="7" t="s">
        <v>22</v>
      </c>
      <c r="K834" s="7" t="s">
        <v>23</v>
      </c>
      <c r="L834" s="7" t="s">
        <v>32</v>
      </c>
      <c r="M834" s="7" t="s">
        <v>25</v>
      </c>
      <c r="N834" s="7">
        <v>2</v>
      </c>
      <c r="O834" s="7">
        <v>28391</v>
      </c>
      <c r="P834" s="7">
        <v>53942.9</v>
      </c>
      <c r="Q834" s="9">
        <v>14495.33</v>
      </c>
      <c r="R834" s="17">
        <f t="shared" si="12"/>
        <v>0.26871617951574722</v>
      </c>
    </row>
    <row r="835" spans="2:18" x14ac:dyDescent="0.3">
      <c r="B835" s="21" t="s">
        <v>1718</v>
      </c>
      <c r="C835" s="11">
        <v>45449</v>
      </c>
      <c r="D835" s="10" t="s">
        <v>1719</v>
      </c>
      <c r="E835" s="10" t="s">
        <v>93</v>
      </c>
      <c r="F835" s="10" t="s">
        <v>19</v>
      </c>
      <c r="G835" s="10">
        <v>30</v>
      </c>
      <c r="H835" s="10" t="s">
        <v>45</v>
      </c>
      <c r="I835" s="10" t="s">
        <v>21</v>
      </c>
      <c r="J835" s="10" t="s">
        <v>22</v>
      </c>
      <c r="K835" s="10" t="s">
        <v>40</v>
      </c>
      <c r="L835" s="10" t="s">
        <v>47</v>
      </c>
      <c r="M835" s="10" t="s">
        <v>33</v>
      </c>
      <c r="N835" s="10">
        <v>5</v>
      </c>
      <c r="O835" s="10">
        <v>6038</v>
      </c>
      <c r="P835" s="10">
        <v>24152</v>
      </c>
      <c r="Q835" s="12">
        <v>8560.2999999999993</v>
      </c>
      <c r="R835" s="17">
        <f t="shared" si="12"/>
        <v>0.35443441536932757</v>
      </c>
    </row>
    <row r="836" spans="2:18" x14ac:dyDescent="0.3">
      <c r="B836" s="20" t="s">
        <v>1720</v>
      </c>
      <c r="C836" s="8">
        <v>45654</v>
      </c>
      <c r="D836" s="7" t="s">
        <v>1721</v>
      </c>
      <c r="E836" s="7" t="s">
        <v>65</v>
      </c>
      <c r="F836" s="7" t="s">
        <v>19</v>
      </c>
      <c r="G836" s="7">
        <v>58</v>
      </c>
      <c r="H836" s="7" t="s">
        <v>45</v>
      </c>
      <c r="I836" s="7" t="s">
        <v>21</v>
      </c>
      <c r="J836" s="7" t="s">
        <v>30</v>
      </c>
      <c r="K836" s="7" t="s">
        <v>23</v>
      </c>
      <c r="L836" s="7" t="s">
        <v>24</v>
      </c>
      <c r="M836" s="7" t="s">
        <v>25</v>
      </c>
      <c r="N836" s="7">
        <v>2</v>
      </c>
      <c r="O836" s="7">
        <v>49529</v>
      </c>
      <c r="P836" s="7">
        <v>84199.3</v>
      </c>
      <c r="Q836" s="9">
        <v>25078.5</v>
      </c>
      <c r="R836" s="17">
        <f t="shared" ref="R836:R899" si="13">Q836/P836</f>
        <v>0.29784689421408489</v>
      </c>
    </row>
    <row r="837" spans="2:18" x14ac:dyDescent="0.3">
      <c r="B837" s="21" t="s">
        <v>1722</v>
      </c>
      <c r="C837" s="11">
        <v>45537</v>
      </c>
      <c r="D837" s="10" t="s">
        <v>1723</v>
      </c>
      <c r="E837" s="10" t="s">
        <v>44</v>
      </c>
      <c r="F837" s="10" t="s">
        <v>37</v>
      </c>
      <c r="G837" s="10">
        <v>39</v>
      </c>
      <c r="H837" s="10" t="s">
        <v>45</v>
      </c>
      <c r="I837" s="10" t="s">
        <v>46</v>
      </c>
      <c r="J837" s="10" t="s">
        <v>30</v>
      </c>
      <c r="K837" s="10" t="s">
        <v>51</v>
      </c>
      <c r="L837" s="10" t="s">
        <v>47</v>
      </c>
      <c r="M837" s="10" t="s">
        <v>25</v>
      </c>
      <c r="N837" s="10">
        <v>3</v>
      </c>
      <c r="O837" s="10">
        <v>41439</v>
      </c>
      <c r="P837" s="10">
        <v>99453.6</v>
      </c>
      <c r="Q837" s="12">
        <v>15600.42</v>
      </c>
      <c r="R837" s="17">
        <f t="shared" si="13"/>
        <v>0.15686129008904653</v>
      </c>
    </row>
    <row r="838" spans="2:18" x14ac:dyDescent="0.3">
      <c r="B838" s="20" t="s">
        <v>1724</v>
      </c>
      <c r="C838" s="8">
        <v>45368</v>
      </c>
      <c r="D838" s="7" t="s">
        <v>1725</v>
      </c>
      <c r="E838" s="7" t="s">
        <v>59</v>
      </c>
      <c r="F838" s="7" t="s">
        <v>19</v>
      </c>
      <c r="G838" s="7">
        <v>56</v>
      </c>
      <c r="H838" s="7" t="s">
        <v>66</v>
      </c>
      <c r="I838" s="7" t="s">
        <v>21</v>
      </c>
      <c r="J838" s="7" t="s">
        <v>30</v>
      </c>
      <c r="K838" s="7" t="s">
        <v>23</v>
      </c>
      <c r="L838" s="7" t="s">
        <v>80</v>
      </c>
      <c r="M838" s="7" t="s">
        <v>33</v>
      </c>
      <c r="N838" s="7">
        <v>5</v>
      </c>
      <c r="O838" s="7">
        <v>14765</v>
      </c>
      <c r="P838" s="7">
        <v>66442.5</v>
      </c>
      <c r="Q838" s="9">
        <v>13674.56</v>
      </c>
      <c r="R838" s="17">
        <f t="shared" si="13"/>
        <v>0.20581043759641796</v>
      </c>
    </row>
    <row r="839" spans="2:18" x14ac:dyDescent="0.3">
      <c r="B839" s="21" t="s">
        <v>1726</v>
      </c>
      <c r="C839" s="11">
        <v>45602</v>
      </c>
      <c r="D839" s="10" t="s">
        <v>1727</v>
      </c>
      <c r="E839" s="10" t="s">
        <v>36</v>
      </c>
      <c r="F839" s="10" t="s">
        <v>37</v>
      </c>
      <c r="G839" s="10">
        <v>38</v>
      </c>
      <c r="H839" s="10" t="s">
        <v>56</v>
      </c>
      <c r="I839" s="10" t="s">
        <v>21</v>
      </c>
      <c r="J839" s="10" t="s">
        <v>50</v>
      </c>
      <c r="K839" s="10" t="s">
        <v>40</v>
      </c>
      <c r="L839" s="10" t="s">
        <v>24</v>
      </c>
      <c r="M839" s="10" t="s">
        <v>25</v>
      </c>
      <c r="N839" s="10">
        <v>1</v>
      </c>
      <c r="O839" s="10">
        <v>31649</v>
      </c>
      <c r="P839" s="10">
        <v>26901.65</v>
      </c>
      <c r="Q839" s="12">
        <v>5545.43</v>
      </c>
      <c r="R839" s="17">
        <f t="shared" si="13"/>
        <v>0.20613717002488696</v>
      </c>
    </row>
    <row r="840" spans="2:18" x14ac:dyDescent="0.3">
      <c r="B840" s="20" t="s">
        <v>1728</v>
      </c>
      <c r="C840" s="8">
        <v>45625</v>
      </c>
      <c r="D840" s="7" t="s">
        <v>1729</v>
      </c>
      <c r="E840" s="7" t="s">
        <v>28</v>
      </c>
      <c r="F840" s="7" t="s">
        <v>19</v>
      </c>
      <c r="G840" s="7">
        <v>46</v>
      </c>
      <c r="H840" s="7" t="s">
        <v>38</v>
      </c>
      <c r="I840" s="7" t="s">
        <v>46</v>
      </c>
      <c r="J840" s="7" t="s">
        <v>30</v>
      </c>
      <c r="K840" s="7" t="s">
        <v>23</v>
      </c>
      <c r="L840" s="7" t="s">
        <v>32</v>
      </c>
      <c r="M840" s="7" t="s">
        <v>25</v>
      </c>
      <c r="N840" s="7">
        <v>1</v>
      </c>
      <c r="O840" s="7">
        <v>42974</v>
      </c>
      <c r="P840" s="7">
        <v>36527.9</v>
      </c>
      <c r="Q840" s="9">
        <v>8519.15</v>
      </c>
      <c r="R840" s="17">
        <f t="shared" si="13"/>
        <v>0.23322309796073684</v>
      </c>
    </row>
    <row r="841" spans="2:18" x14ac:dyDescent="0.3">
      <c r="B841" s="21" t="s">
        <v>1730</v>
      </c>
      <c r="C841" s="11">
        <v>45551</v>
      </c>
      <c r="D841" s="10" t="s">
        <v>1731</v>
      </c>
      <c r="E841" s="10" t="s">
        <v>55</v>
      </c>
      <c r="F841" s="10" t="s">
        <v>37</v>
      </c>
      <c r="G841" s="10">
        <v>18</v>
      </c>
      <c r="H841" s="10" t="s">
        <v>45</v>
      </c>
      <c r="I841" s="10" t="s">
        <v>46</v>
      </c>
      <c r="J841" s="10" t="s">
        <v>22</v>
      </c>
      <c r="K841" s="10" t="s">
        <v>23</v>
      </c>
      <c r="L841" s="10" t="s">
        <v>47</v>
      </c>
      <c r="M841" s="10" t="s">
        <v>41</v>
      </c>
      <c r="N841" s="10">
        <v>1</v>
      </c>
      <c r="O841" s="10">
        <v>31166</v>
      </c>
      <c r="P841" s="10">
        <v>31166</v>
      </c>
      <c r="Q841" s="12">
        <v>12092.77</v>
      </c>
      <c r="R841" s="17">
        <f t="shared" si="13"/>
        <v>0.38801161522171601</v>
      </c>
    </row>
    <row r="842" spans="2:18" x14ac:dyDescent="0.3">
      <c r="B842" s="20" t="s">
        <v>1732</v>
      </c>
      <c r="C842" s="8">
        <v>45321</v>
      </c>
      <c r="D842" s="7" t="s">
        <v>1733</v>
      </c>
      <c r="E842" s="7" t="s">
        <v>55</v>
      </c>
      <c r="F842" s="7" t="s">
        <v>37</v>
      </c>
      <c r="G842" s="7">
        <v>54</v>
      </c>
      <c r="H842" s="7" t="s">
        <v>38</v>
      </c>
      <c r="I842" s="7" t="s">
        <v>39</v>
      </c>
      <c r="J842" s="7" t="s">
        <v>30</v>
      </c>
      <c r="K842" s="7" t="s">
        <v>69</v>
      </c>
      <c r="L842" s="7" t="s">
        <v>24</v>
      </c>
      <c r="M842" s="7" t="s">
        <v>25</v>
      </c>
      <c r="N842" s="7">
        <v>2</v>
      </c>
      <c r="O842" s="7">
        <v>11822</v>
      </c>
      <c r="P842" s="7">
        <v>21279.599999999999</v>
      </c>
      <c r="Q842" s="9">
        <v>5183.12</v>
      </c>
      <c r="R842" s="17">
        <f t="shared" si="13"/>
        <v>0.24357224759863907</v>
      </c>
    </row>
    <row r="843" spans="2:18" x14ac:dyDescent="0.3">
      <c r="B843" s="21" t="s">
        <v>1734</v>
      </c>
      <c r="C843" s="11">
        <v>45606</v>
      </c>
      <c r="D843" s="10" t="s">
        <v>1735</v>
      </c>
      <c r="E843" s="10" t="s">
        <v>18</v>
      </c>
      <c r="F843" s="10" t="s">
        <v>37</v>
      </c>
      <c r="G843" s="10">
        <v>27</v>
      </c>
      <c r="H843" s="10" t="s">
        <v>38</v>
      </c>
      <c r="I843" s="10" t="s">
        <v>21</v>
      </c>
      <c r="J843" s="10" t="s">
        <v>22</v>
      </c>
      <c r="K843" s="10" t="s">
        <v>31</v>
      </c>
      <c r="L843" s="10" t="s">
        <v>32</v>
      </c>
      <c r="M843" s="10" t="s">
        <v>25</v>
      </c>
      <c r="N843" s="10">
        <v>2</v>
      </c>
      <c r="O843" s="10">
        <v>24936</v>
      </c>
      <c r="P843" s="10">
        <v>42391.199999999997</v>
      </c>
      <c r="Q843" s="12">
        <v>6517.61</v>
      </c>
      <c r="R843" s="17">
        <f t="shared" si="13"/>
        <v>0.15374912717733868</v>
      </c>
    </row>
    <row r="844" spans="2:18" x14ac:dyDescent="0.3">
      <c r="B844" s="20" t="s">
        <v>1736</v>
      </c>
      <c r="C844" s="8">
        <v>45648</v>
      </c>
      <c r="D844" s="7" t="s">
        <v>1737</v>
      </c>
      <c r="E844" s="7" t="s">
        <v>28</v>
      </c>
      <c r="F844" s="7" t="s">
        <v>19</v>
      </c>
      <c r="G844" s="7">
        <v>26</v>
      </c>
      <c r="H844" s="7" t="s">
        <v>56</v>
      </c>
      <c r="I844" s="7" t="s">
        <v>21</v>
      </c>
      <c r="J844" s="7" t="s">
        <v>30</v>
      </c>
      <c r="K844" s="7" t="s">
        <v>31</v>
      </c>
      <c r="L844" s="7" t="s">
        <v>24</v>
      </c>
      <c r="M844" s="7" t="s">
        <v>52</v>
      </c>
      <c r="N844" s="7">
        <v>3</v>
      </c>
      <c r="O844" s="7">
        <v>42824</v>
      </c>
      <c r="P844" s="7">
        <v>128472</v>
      </c>
      <c r="Q844" s="9">
        <v>25764.07</v>
      </c>
      <c r="R844" s="17">
        <f t="shared" si="13"/>
        <v>0.20054229715424374</v>
      </c>
    </row>
    <row r="845" spans="2:18" x14ac:dyDescent="0.3">
      <c r="B845" s="21" t="s">
        <v>1738</v>
      </c>
      <c r="C845" s="11">
        <v>45452</v>
      </c>
      <c r="D845" s="10" t="s">
        <v>1739</v>
      </c>
      <c r="E845" s="10" t="s">
        <v>59</v>
      </c>
      <c r="F845" s="10" t="s">
        <v>19</v>
      </c>
      <c r="G845" s="10">
        <v>21</v>
      </c>
      <c r="H845" s="10" t="s">
        <v>66</v>
      </c>
      <c r="I845" s="10" t="s">
        <v>21</v>
      </c>
      <c r="J845" s="10" t="s">
        <v>30</v>
      </c>
      <c r="K845" s="10" t="s">
        <v>40</v>
      </c>
      <c r="L845" s="10" t="s">
        <v>24</v>
      </c>
      <c r="M845" s="10" t="s">
        <v>33</v>
      </c>
      <c r="N845" s="10">
        <v>5</v>
      </c>
      <c r="O845" s="10">
        <v>27003</v>
      </c>
      <c r="P845" s="10">
        <v>108012</v>
      </c>
      <c r="Q845" s="12">
        <v>27629.79</v>
      </c>
      <c r="R845" s="17">
        <f t="shared" si="13"/>
        <v>0.25580296633707367</v>
      </c>
    </row>
    <row r="846" spans="2:18" x14ac:dyDescent="0.3">
      <c r="B846" s="20" t="s">
        <v>1740</v>
      </c>
      <c r="C846" s="8">
        <v>45459</v>
      </c>
      <c r="D846" s="7" t="s">
        <v>1741</v>
      </c>
      <c r="E846" s="7" t="s">
        <v>76</v>
      </c>
      <c r="F846" s="7" t="s">
        <v>19</v>
      </c>
      <c r="G846" s="7">
        <v>38</v>
      </c>
      <c r="H846" s="7" t="s">
        <v>45</v>
      </c>
      <c r="I846" s="7" t="s">
        <v>21</v>
      </c>
      <c r="J846" s="7" t="s">
        <v>30</v>
      </c>
      <c r="K846" s="7" t="s">
        <v>51</v>
      </c>
      <c r="L846" s="7" t="s">
        <v>60</v>
      </c>
      <c r="M846" s="7" t="s">
        <v>41</v>
      </c>
      <c r="N846" s="7">
        <v>2</v>
      </c>
      <c r="O846" s="7">
        <v>18043</v>
      </c>
      <c r="P846" s="7">
        <v>28868.799999999999</v>
      </c>
      <c r="Q846" s="9">
        <v>5694.99</v>
      </c>
      <c r="R846" s="17">
        <f t="shared" si="13"/>
        <v>0.19727144876129246</v>
      </c>
    </row>
    <row r="847" spans="2:18" x14ac:dyDescent="0.3">
      <c r="B847" s="21" t="s">
        <v>1742</v>
      </c>
      <c r="C847" s="11">
        <v>45587</v>
      </c>
      <c r="D847" s="10" t="s">
        <v>1743</v>
      </c>
      <c r="E847" s="10" t="s">
        <v>76</v>
      </c>
      <c r="F847" s="10" t="s">
        <v>37</v>
      </c>
      <c r="G847" s="10">
        <v>21</v>
      </c>
      <c r="H847" s="10" t="s">
        <v>38</v>
      </c>
      <c r="I847" s="10" t="s">
        <v>21</v>
      </c>
      <c r="J847" s="10" t="s">
        <v>30</v>
      </c>
      <c r="K847" s="10" t="s">
        <v>31</v>
      </c>
      <c r="L847" s="10" t="s">
        <v>24</v>
      </c>
      <c r="M847" s="10" t="s">
        <v>33</v>
      </c>
      <c r="N847" s="10">
        <v>2</v>
      </c>
      <c r="O847" s="10">
        <v>42837</v>
      </c>
      <c r="P847" s="10">
        <v>68539.199999999997</v>
      </c>
      <c r="Q847" s="12">
        <v>17269.66</v>
      </c>
      <c r="R847" s="17">
        <f t="shared" si="13"/>
        <v>0.25196763312090015</v>
      </c>
    </row>
    <row r="848" spans="2:18" x14ac:dyDescent="0.3">
      <c r="B848" s="20" t="s">
        <v>1744</v>
      </c>
      <c r="C848" s="8">
        <v>45511</v>
      </c>
      <c r="D848" s="7" t="s">
        <v>1745</v>
      </c>
      <c r="E848" s="7" t="s">
        <v>59</v>
      </c>
      <c r="F848" s="7" t="s">
        <v>19</v>
      </c>
      <c r="G848" s="7">
        <v>48</v>
      </c>
      <c r="H848" s="7" t="s">
        <v>20</v>
      </c>
      <c r="I848" s="7" t="s">
        <v>21</v>
      </c>
      <c r="J848" s="7" t="s">
        <v>22</v>
      </c>
      <c r="K848" s="7" t="s">
        <v>31</v>
      </c>
      <c r="L848" s="7" t="s">
        <v>24</v>
      </c>
      <c r="M848" s="7" t="s">
        <v>41</v>
      </c>
      <c r="N848" s="7">
        <v>5</v>
      </c>
      <c r="O848" s="7">
        <v>1164</v>
      </c>
      <c r="P848" s="7">
        <v>5820</v>
      </c>
      <c r="Q848" s="9">
        <v>1017.46</v>
      </c>
      <c r="R848" s="17">
        <f t="shared" si="13"/>
        <v>0.1748213058419244</v>
      </c>
    </row>
    <row r="849" spans="2:18" x14ac:dyDescent="0.3">
      <c r="B849" s="21" t="s">
        <v>1746</v>
      </c>
      <c r="C849" s="11">
        <v>45613</v>
      </c>
      <c r="D849" s="10" t="s">
        <v>1747</v>
      </c>
      <c r="E849" s="10" t="s">
        <v>36</v>
      </c>
      <c r="F849" s="10" t="s">
        <v>37</v>
      </c>
      <c r="G849" s="10">
        <v>30</v>
      </c>
      <c r="H849" s="10" t="s">
        <v>45</v>
      </c>
      <c r="I849" s="10" t="s">
        <v>21</v>
      </c>
      <c r="J849" s="10" t="s">
        <v>50</v>
      </c>
      <c r="K849" s="10" t="s">
        <v>69</v>
      </c>
      <c r="L849" s="10" t="s">
        <v>80</v>
      </c>
      <c r="M849" s="10" t="s">
        <v>52</v>
      </c>
      <c r="N849" s="10">
        <v>3</v>
      </c>
      <c r="O849" s="10">
        <v>17572</v>
      </c>
      <c r="P849" s="10">
        <v>44808.6</v>
      </c>
      <c r="Q849" s="12">
        <v>7334.37</v>
      </c>
      <c r="R849" s="17">
        <f t="shared" si="13"/>
        <v>0.16368219493579358</v>
      </c>
    </row>
    <row r="850" spans="2:18" x14ac:dyDescent="0.3">
      <c r="B850" s="20" t="s">
        <v>1748</v>
      </c>
      <c r="C850" s="8">
        <v>45379</v>
      </c>
      <c r="D850" s="7" t="s">
        <v>1749</v>
      </c>
      <c r="E850" s="7" t="s">
        <v>93</v>
      </c>
      <c r="F850" s="7" t="s">
        <v>19</v>
      </c>
      <c r="G850" s="7">
        <v>60</v>
      </c>
      <c r="H850" s="7" t="s">
        <v>29</v>
      </c>
      <c r="I850" s="7" t="s">
        <v>21</v>
      </c>
      <c r="J850" s="7" t="s">
        <v>22</v>
      </c>
      <c r="K850" s="7" t="s">
        <v>40</v>
      </c>
      <c r="L850" s="7" t="s">
        <v>24</v>
      </c>
      <c r="M850" s="7" t="s">
        <v>25</v>
      </c>
      <c r="N850" s="7">
        <v>3</v>
      </c>
      <c r="O850" s="7">
        <v>41222</v>
      </c>
      <c r="P850" s="7">
        <v>123666</v>
      </c>
      <c r="Q850" s="9">
        <v>31395.03</v>
      </c>
      <c r="R850" s="17">
        <f t="shared" si="13"/>
        <v>0.25386953568482851</v>
      </c>
    </row>
    <row r="851" spans="2:18" x14ac:dyDescent="0.3">
      <c r="B851" s="21" t="s">
        <v>1750</v>
      </c>
      <c r="C851" s="11">
        <v>45394</v>
      </c>
      <c r="D851" s="10" t="s">
        <v>1751</v>
      </c>
      <c r="E851" s="10" t="s">
        <v>79</v>
      </c>
      <c r="F851" s="10" t="s">
        <v>19</v>
      </c>
      <c r="G851" s="10">
        <v>40</v>
      </c>
      <c r="H851" s="10" t="s">
        <v>45</v>
      </c>
      <c r="I851" s="10" t="s">
        <v>39</v>
      </c>
      <c r="J851" s="10" t="s">
        <v>50</v>
      </c>
      <c r="K851" s="10" t="s">
        <v>23</v>
      </c>
      <c r="L851" s="10" t="s">
        <v>32</v>
      </c>
      <c r="M851" s="10" t="s">
        <v>41</v>
      </c>
      <c r="N851" s="10">
        <v>2</v>
      </c>
      <c r="O851" s="10">
        <v>42495</v>
      </c>
      <c r="P851" s="10">
        <v>80740.5</v>
      </c>
      <c r="Q851" s="12">
        <v>25603.81</v>
      </c>
      <c r="R851" s="17">
        <f t="shared" si="13"/>
        <v>0.31711235377536678</v>
      </c>
    </row>
    <row r="852" spans="2:18" x14ac:dyDescent="0.3">
      <c r="B852" s="20" t="s">
        <v>1752</v>
      </c>
      <c r="C852" s="8">
        <v>45525</v>
      </c>
      <c r="D852" s="7" t="s">
        <v>1753</v>
      </c>
      <c r="E852" s="7" t="s">
        <v>28</v>
      </c>
      <c r="F852" s="7" t="s">
        <v>19</v>
      </c>
      <c r="G852" s="7">
        <v>44</v>
      </c>
      <c r="H852" s="7" t="s">
        <v>56</v>
      </c>
      <c r="I852" s="7" t="s">
        <v>21</v>
      </c>
      <c r="J852" s="7" t="s">
        <v>30</v>
      </c>
      <c r="K852" s="7" t="s">
        <v>51</v>
      </c>
      <c r="L852" s="7" t="s">
        <v>47</v>
      </c>
      <c r="M852" s="7" t="s">
        <v>52</v>
      </c>
      <c r="N852" s="7">
        <v>1</v>
      </c>
      <c r="O852" s="7">
        <v>26750</v>
      </c>
      <c r="P852" s="7">
        <v>22737.5</v>
      </c>
      <c r="Q852" s="9">
        <v>5344.94</v>
      </c>
      <c r="R852" s="17">
        <f t="shared" si="13"/>
        <v>0.23507157778999449</v>
      </c>
    </row>
    <row r="853" spans="2:18" x14ac:dyDescent="0.3">
      <c r="B853" s="21" t="s">
        <v>1754</v>
      </c>
      <c r="C853" s="11">
        <v>45469</v>
      </c>
      <c r="D853" s="10" t="s">
        <v>1755</v>
      </c>
      <c r="E853" s="10" t="s">
        <v>44</v>
      </c>
      <c r="F853" s="10" t="s">
        <v>37</v>
      </c>
      <c r="G853" s="10">
        <v>34</v>
      </c>
      <c r="H853" s="10" t="s">
        <v>29</v>
      </c>
      <c r="I853" s="10" t="s">
        <v>46</v>
      </c>
      <c r="J853" s="10" t="s">
        <v>50</v>
      </c>
      <c r="K853" s="10" t="s">
        <v>51</v>
      </c>
      <c r="L853" s="10" t="s">
        <v>47</v>
      </c>
      <c r="M853" s="10" t="s">
        <v>52</v>
      </c>
      <c r="N853" s="10">
        <v>5</v>
      </c>
      <c r="O853" s="10">
        <v>3254</v>
      </c>
      <c r="P853" s="10">
        <v>14643</v>
      </c>
      <c r="Q853" s="12">
        <v>3962.4</v>
      </c>
      <c r="R853" s="17">
        <f t="shared" si="13"/>
        <v>0.27060028682646997</v>
      </c>
    </row>
    <row r="854" spans="2:18" x14ac:dyDescent="0.3">
      <c r="B854" s="20" t="s">
        <v>1756</v>
      </c>
      <c r="C854" s="8">
        <v>45505</v>
      </c>
      <c r="D854" s="7" t="s">
        <v>1757</v>
      </c>
      <c r="E854" s="7" t="s">
        <v>76</v>
      </c>
      <c r="F854" s="7" t="s">
        <v>37</v>
      </c>
      <c r="G854" s="7">
        <v>59</v>
      </c>
      <c r="H854" s="7" t="s">
        <v>20</v>
      </c>
      <c r="I854" s="7" t="s">
        <v>21</v>
      </c>
      <c r="J854" s="7" t="s">
        <v>50</v>
      </c>
      <c r="K854" s="7" t="s">
        <v>69</v>
      </c>
      <c r="L854" s="7" t="s">
        <v>47</v>
      </c>
      <c r="M854" s="7" t="s">
        <v>33</v>
      </c>
      <c r="N854" s="7">
        <v>4</v>
      </c>
      <c r="O854" s="7">
        <v>18749</v>
      </c>
      <c r="P854" s="7">
        <v>63746.6</v>
      </c>
      <c r="Q854" s="9">
        <v>21202.17</v>
      </c>
      <c r="R854" s="17">
        <f t="shared" si="13"/>
        <v>0.33260079753273114</v>
      </c>
    </row>
    <row r="855" spans="2:18" x14ac:dyDescent="0.3">
      <c r="B855" s="21" t="s">
        <v>1758</v>
      </c>
      <c r="C855" s="11">
        <v>45420</v>
      </c>
      <c r="D855" s="10" t="s">
        <v>1759</v>
      </c>
      <c r="E855" s="10" t="s">
        <v>93</v>
      </c>
      <c r="F855" s="10" t="s">
        <v>19</v>
      </c>
      <c r="G855" s="10">
        <v>42</v>
      </c>
      <c r="H855" s="10" t="s">
        <v>66</v>
      </c>
      <c r="I855" s="10" t="s">
        <v>46</v>
      </c>
      <c r="J855" s="10" t="s">
        <v>30</v>
      </c>
      <c r="K855" s="10" t="s">
        <v>69</v>
      </c>
      <c r="L855" s="10" t="s">
        <v>24</v>
      </c>
      <c r="M855" s="10" t="s">
        <v>25</v>
      </c>
      <c r="N855" s="10">
        <v>4</v>
      </c>
      <c r="O855" s="10">
        <v>1223</v>
      </c>
      <c r="P855" s="10">
        <v>4402.8</v>
      </c>
      <c r="Q855" s="12">
        <v>730.83</v>
      </c>
      <c r="R855" s="17">
        <f t="shared" si="13"/>
        <v>0.16599209593894795</v>
      </c>
    </row>
    <row r="856" spans="2:18" x14ac:dyDescent="0.3">
      <c r="B856" s="20" t="s">
        <v>1760</v>
      </c>
      <c r="C856" s="8">
        <v>45351</v>
      </c>
      <c r="D856" s="7" t="s">
        <v>1761</v>
      </c>
      <c r="E856" s="7" t="s">
        <v>36</v>
      </c>
      <c r="F856" s="7" t="s">
        <v>19</v>
      </c>
      <c r="G856" s="7">
        <v>30</v>
      </c>
      <c r="H856" s="7" t="s">
        <v>66</v>
      </c>
      <c r="I856" s="7" t="s">
        <v>21</v>
      </c>
      <c r="J856" s="7" t="s">
        <v>30</v>
      </c>
      <c r="K856" s="7" t="s">
        <v>31</v>
      </c>
      <c r="L856" s="7" t="s">
        <v>80</v>
      </c>
      <c r="M856" s="7" t="s">
        <v>25</v>
      </c>
      <c r="N856" s="7">
        <v>5</v>
      </c>
      <c r="O856" s="7">
        <v>11822</v>
      </c>
      <c r="P856" s="7">
        <v>59110</v>
      </c>
      <c r="Q856" s="9">
        <v>17828.97</v>
      </c>
      <c r="R856" s="17">
        <f t="shared" si="13"/>
        <v>0.30162358315005922</v>
      </c>
    </row>
    <row r="857" spans="2:18" x14ac:dyDescent="0.3">
      <c r="B857" s="21" t="s">
        <v>1762</v>
      </c>
      <c r="C857" s="11">
        <v>45369</v>
      </c>
      <c r="D857" s="10" t="s">
        <v>1763</v>
      </c>
      <c r="E857" s="10" t="s">
        <v>59</v>
      </c>
      <c r="F857" s="10" t="s">
        <v>37</v>
      </c>
      <c r="G857" s="10">
        <v>20</v>
      </c>
      <c r="H857" s="10" t="s">
        <v>38</v>
      </c>
      <c r="I857" s="10" t="s">
        <v>46</v>
      </c>
      <c r="J857" s="10" t="s">
        <v>22</v>
      </c>
      <c r="K857" s="10" t="s">
        <v>69</v>
      </c>
      <c r="L857" s="10" t="s">
        <v>47</v>
      </c>
      <c r="M857" s="10" t="s">
        <v>25</v>
      </c>
      <c r="N857" s="10">
        <v>1</v>
      </c>
      <c r="O857" s="10">
        <v>25383</v>
      </c>
      <c r="P857" s="10">
        <v>22844.7</v>
      </c>
      <c r="Q857" s="12">
        <v>5957.47</v>
      </c>
      <c r="R857" s="17">
        <f t="shared" si="13"/>
        <v>0.26078127530674511</v>
      </c>
    </row>
    <row r="858" spans="2:18" x14ac:dyDescent="0.3">
      <c r="B858" s="20" t="s">
        <v>1764</v>
      </c>
      <c r="C858" s="8">
        <v>45508</v>
      </c>
      <c r="D858" s="7" t="s">
        <v>1765</v>
      </c>
      <c r="E858" s="7" t="s">
        <v>36</v>
      </c>
      <c r="F858" s="7" t="s">
        <v>37</v>
      </c>
      <c r="G858" s="7">
        <v>52</v>
      </c>
      <c r="H858" s="7" t="s">
        <v>38</v>
      </c>
      <c r="I858" s="7" t="s">
        <v>39</v>
      </c>
      <c r="J858" s="7" t="s">
        <v>22</v>
      </c>
      <c r="K858" s="7" t="s">
        <v>40</v>
      </c>
      <c r="L858" s="7" t="s">
        <v>24</v>
      </c>
      <c r="M858" s="7" t="s">
        <v>33</v>
      </c>
      <c r="N858" s="7">
        <v>4</v>
      </c>
      <c r="O858" s="7">
        <v>11215</v>
      </c>
      <c r="P858" s="7">
        <v>38131</v>
      </c>
      <c r="Q858" s="9">
        <v>9230.4599999999991</v>
      </c>
      <c r="R858" s="17">
        <f t="shared" si="13"/>
        <v>0.24207232960058742</v>
      </c>
    </row>
    <row r="859" spans="2:18" x14ac:dyDescent="0.3">
      <c r="B859" s="21" t="s">
        <v>1766</v>
      </c>
      <c r="C859" s="11">
        <v>45405</v>
      </c>
      <c r="D859" s="10" t="s">
        <v>1767</v>
      </c>
      <c r="E859" s="10" t="s">
        <v>65</v>
      </c>
      <c r="F859" s="10" t="s">
        <v>37</v>
      </c>
      <c r="G859" s="10">
        <v>39</v>
      </c>
      <c r="H859" s="10" t="s">
        <v>56</v>
      </c>
      <c r="I859" s="10" t="s">
        <v>39</v>
      </c>
      <c r="J859" s="10" t="s">
        <v>30</v>
      </c>
      <c r="K859" s="10" t="s">
        <v>51</v>
      </c>
      <c r="L859" s="10" t="s">
        <v>24</v>
      </c>
      <c r="M859" s="10" t="s">
        <v>25</v>
      </c>
      <c r="N859" s="10">
        <v>5</v>
      </c>
      <c r="O859" s="10">
        <v>11436</v>
      </c>
      <c r="P859" s="10">
        <v>54321</v>
      </c>
      <c r="Q859" s="12">
        <v>15471.4</v>
      </c>
      <c r="R859" s="17">
        <f t="shared" si="13"/>
        <v>0.28481434436037628</v>
      </c>
    </row>
    <row r="860" spans="2:18" x14ac:dyDescent="0.3">
      <c r="B860" s="20" t="s">
        <v>1768</v>
      </c>
      <c r="C860" s="8">
        <v>45419</v>
      </c>
      <c r="D860" s="7" t="s">
        <v>1769</v>
      </c>
      <c r="E860" s="7" t="s">
        <v>18</v>
      </c>
      <c r="F860" s="7" t="s">
        <v>19</v>
      </c>
      <c r="G860" s="7">
        <v>44</v>
      </c>
      <c r="H860" s="7" t="s">
        <v>56</v>
      </c>
      <c r="I860" s="7" t="s">
        <v>21</v>
      </c>
      <c r="J860" s="7" t="s">
        <v>50</v>
      </c>
      <c r="K860" s="7" t="s">
        <v>51</v>
      </c>
      <c r="L860" s="7" t="s">
        <v>32</v>
      </c>
      <c r="M860" s="7" t="s">
        <v>33</v>
      </c>
      <c r="N860" s="7">
        <v>3</v>
      </c>
      <c r="O860" s="7">
        <v>47935</v>
      </c>
      <c r="P860" s="7">
        <v>122234.25</v>
      </c>
      <c r="Q860" s="9">
        <v>45895.91</v>
      </c>
      <c r="R860" s="17">
        <f t="shared" si="13"/>
        <v>0.37547504075167148</v>
      </c>
    </row>
    <row r="861" spans="2:18" x14ac:dyDescent="0.3">
      <c r="B861" s="21" t="s">
        <v>1770</v>
      </c>
      <c r="C861" s="11">
        <v>45603</v>
      </c>
      <c r="D861" s="10" t="s">
        <v>1771</v>
      </c>
      <c r="E861" s="10" t="s">
        <v>79</v>
      </c>
      <c r="F861" s="10" t="s">
        <v>37</v>
      </c>
      <c r="G861" s="10">
        <v>22</v>
      </c>
      <c r="H861" s="10" t="s">
        <v>38</v>
      </c>
      <c r="I861" s="10" t="s">
        <v>39</v>
      </c>
      <c r="J861" s="10" t="s">
        <v>22</v>
      </c>
      <c r="K861" s="10" t="s">
        <v>69</v>
      </c>
      <c r="L861" s="10" t="s">
        <v>32</v>
      </c>
      <c r="M861" s="10" t="s">
        <v>25</v>
      </c>
      <c r="N861" s="10">
        <v>2</v>
      </c>
      <c r="O861" s="10">
        <v>17770</v>
      </c>
      <c r="P861" s="10">
        <v>30209</v>
      </c>
      <c r="Q861" s="12">
        <v>6090.72</v>
      </c>
      <c r="R861" s="17">
        <f t="shared" si="13"/>
        <v>0.20161938495150453</v>
      </c>
    </row>
    <row r="862" spans="2:18" x14ac:dyDescent="0.3">
      <c r="B862" s="20" t="s">
        <v>1772</v>
      </c>
      <c r="C862" s="8">
        <v>45509</v>
      </c>
      <c r="D862" s="7" t="s">
        <v>1773</v>
      </c>
      <c r="E862" s="7" t="s">
        <v>65</v>
      </c>
      <c r="F862" s="7" t="s">
        <v>37</v>
      </c>
      <c r="G862" s="7">
        <v>43</v>
      </c>
      <c r="H862" s="7" t="s">
        <v>29</v>
      </c>
      <c r="I862" s="7" t="s">
        <v>21</v>
      </c>
      <c r="J862" s="7" t="s">
        <v>30</v>
      </c>
      <c r="K862" s="7" t="s">
        <v>23</v>
      </c>
      <c r="L862" s="7" t="s">
        <v>60</v>
      </c>
      <c r="M862" s="7" t="s">
        <v>25</v>
      </c>
      <c r="N862" s="7">
        <v>4</v>
      </c>
      <c r="O862" s="7">
        <v>40698</v>
      </c>
      <c r="P862" s="7">
        <v>138373.20000000001</v>
      </c>
      <c r="Q862" s="9">
        <v>34125.089999999997</v>
      </c>
      <c r="R862" s="17">
        <f t="shared" si="13"/>
        <v>0.24661632454839516</v>
      </c>
    </row>
    <row r="863" spans="2:18" x14ac:dyDescent="0.3">
      <c r="B863" s="21" t="s">
        <v>1774</v>
      </c>
      <c r="C863" s="11">
        <v>45512</v>
      </c>
      <c r="D863" s="10" t="s">
        <v>1775</v>
      </c>
      <c r="E863" s="10" t="s">
        <v>28</v>
      </c>
      <c r="F863" s="10" t="s">
        <v>19</v>
      </c>
      <c r="G863" s="10">
        <v>22</v>
      </c>
      <c r="H863" s="10" t="s">
        <v>20</v>
      </c>
      <c r="I863" s="10" t="s">
        <v>21</v>
      </c>
      <c r="J863" s="10" t="s">
        <v>30</v>
      </c>
      <c r="K863" s="10" t="s">
        <v>40</v>
      </c>
      <c r="L863" s="10" t="s">
        <v>47</v>
      </c>
      <c r="M863" s="10" t="s">
        <v>25</v>
      </c>
      <c r="N863" s="10">
        <v>3</v>
      </c>
      <c r="O863" s="10">
        <v>23670</v>
      </c>
      <c r="P863" s="10">
        <v>63909</v>
      </c>
      <c r="Q863" s="12">
        <v>11201.33</v>
      </c>
      <c r="R863" s="17">
        <f t="shared" si="13"/>
        <v>0.17526999327168316</v>
      </c>
    </row>
    <row r="864" spans="2:18" x14ac:dyDescent="0.3">
      <c r="B864" s="20" t="s">
        <v>1776</v>
      </c>
      <c r="C864" s="8">
        <v>45471</v>
      </c>
      <c r="D864" s="7" t="s">
        <v>1777</v>
      </c>
      <c r="E864" s="7" t="s">
        <v>55</v>
      </c>
      <c r="F864" s="7" t="s">
        <v>19</v>
      </c>
      <c r="G864" s="7">
        <v>43</v>
      </c>
      <c r="H864" s="7" t="s">
        <v>45</v>
      </c>
      <c r="I864" s="7" t="s">
        <v>39</v>
      </c>
      <c r="J864" s="7" t="s">
        <v>50</v>
      </c>
      <c r="K864" s="7" t="s">
        <v>31</v>
      </c>
      <c r="L864" s="7" t="s">
        <v>80</v>
      </c>
      <c r="M864" s="7" t="s">
        <v>25</v>
      </c>
      <c r="N864" s="7">
        <v>2</v>
      </c>
      <c r="O864" s="7">
        <v>29362</v>
      </c>
      <c r="P864" s="7">
        <v>52851.6</v>
      </c>
      <c r="Q864" s="9">
        <v>20619.21</v>
      </c>
      <c r="R864" s="17">
        <f t="shared" si="13"/>
        <v>0.39013407351906093</v>
      </c>
    </row>
    <row r="865" spans="2:18" x14ac:dyDescent="0.3">
      <c r="B865" s="21" t="s">
        <v>1778</v>
      </c>
      <c r="C865" s="11">
        <v>45346</v>
      </c>
      <c r="D865" s="10" t="s">
        <v>1779</v>
      </c>
      <c r="E865" s="10" t="s">
        <v>28</v>
      </c>
      <c r="F865" s="10" t="s">
        <v>37</v>
      </c>
      <c r="G865" s="10">
        <v>56</v>
      </c>
      <c r="H865" s="10" t="s">
        <v>38</v>
      </c>
      <c r="I865" s="10" t="s">
        <v>21</v>
      </c>
      <c r="J865" s="10" t="s">
        <v>30</v>
      </c>
      <c r="K865" s="10" t="s">
        <v>40</v>
      </c>
      <c r="L865" s="10" t="s">
        <v>47</v>
      </c>
      <c r="M865" s="10" t="s">
        <v>41</v>
      </c>
      <c r="N865" s="10">
        <v>5</v>
      </c>
      <c r="O865" s="10">
        <v>11227</v>
      </c>
      <c r="P865" s="10">
        <v>53328.25</v>
      </c>
      <c r="Q865" s="12">
        <v>15688.73</v>
      </c>
      <c r="R865" s="17">
        <f t="shared" si="13"/>
        <v>0.29419172764904156</v>
      </c>
    </row>
    <row r="866" spans="2:18" x14ac:dyDescent="0.3">
      <c r="B866" s="20" t="s">
        <v>1780</v>
      </c>
      <c r="C866" s="8">
        <v>45308</v>
      </c>
      <c r="D866" s="7" t="s">
        <v>1781</v>
      </c>
      <c r="E866" s="7" t="s">
        <v>18</v>
      </c>
      <c r="F866" s="7" t="s">
        <v>19</v>
      </c>
      <c r="G866" s="7">
        <v>44</v>
      </c>
      <c r="H866" s="7" t="s">
        <v>38</v>
      </c>
      <c r="I866" s="7" t="s">
        <v>21</v>
      </c>
      <c r="J866" s="7" t="s">
        <v>22</v>
      </c>
      <c r="K866" s="7" t="s">
        <v>51</v>
      </c>
      <c r="L866" s="7" t="s">
        <v>47</v>
      </c>
      <c r="M866" s="7" t="s">
        <v>41</v>
      </c>
      <c r="N866" s="7">
        <v>3</v>
      </c>
      <c r="O866" s="7">
        <v>5316</v>
      </c>
      <c r="P866" s="7">
        <v>13555.8</v>
      </c>
      <c r="Q866" s="9">
        <v>3170.72</v>
      </c>
      <c r="R866" s="17">
        <f t="shared" si="13"/>
        <v>0.2339013558771891</v>
      </c>
    </row>
    <row r="867" spans="2:18" x14ac:dyDescent="0.3">
      <c r="B867" s="21" t="s">
        <v>1782</v>
      </c>
      <c r="C867" s="11">
        <v>45581</v>
      </c>
      <c r="D867" s="10" t="s">
        <v>1783</v>
      </c>
      <c r="E867" s="10" t="s">
        <v>55</v>
      </c>
      <c r="F867" s="10" t="s">
        <v>19</v>
      </c>
      <c r="G867" s="10">
        <v>18</v>
      </c>
      <c r="H867" s="10" t="s">
        <v>29</v>
      </c>
      <c r="I867" s="10" t="s">
        <v>39</v>
      </c>
      <c r="J867" s="10" t="s">
        <v>22</v>
      </c>
      <c r="K867" s="10" t="s">
        <v>40</v>
      </c>
      <c r="L867" s="10" t="s">
        <v>32</v>
      </c>
      <c r="M867" s="10" t="s">
        <v>41</v>
      </c>
      <c r="N867" s="10">
        <v>4</v>
      </c>
      <c r="O867" s="10">
        <v>32287</v>
      </c>
      <c r="P867" s="10">
        <v>116233.2</v>
      </c>
      <c r="Q867" s="12">
        <v>29009.62</v>
      </c>
      <c r="R867" s="17">
        <f t="shared" si="13"/>
        <v>0.24958118678656357</v>
      </c>
    </row>
    <row r="868" spans="2:18" x14ac:dyDescent="0.3">
      <c r="B868" s="20" t="s">
        <v>1784</v>
      </c>
      <c r="C868" s="8">
        <v>45402</v>
      </c>
      <c r="D868" s="7" t="s">
        <v>1785</v>
      </c>
      <c r="E868" s="7" t="s">
        <v>59</v>
      </c>
      <c r="F868" s="7" t="s">
        <v>19</v>
      </c>
      <c r="G868" s="7">
        <v>21</v>
      </c>
      <c r="H868" s="7" t="s">
        <v>29</v>
      </c>
      <c r="I868" s="7" t="s">
        <v>46</v>
      </c>
      <c r="J868" s="7" t="s">
        <v>50</v>
      </c>
      <c r="K868" s="7" t="s">
        <v>31</v>
      </c>
      <c r="L868" s="7" t="s">
        <v>47</v>
      </c>
      <c r="M868" s="7" t="s">
        <v>25</v>
      </c>
      <c r="N868" s="7">
        <v>4</v>
      </c>
      <c r="O868" s="7">
        <v>26175</v>
      </c>
      <c r="P868" s="7">
        <v>94230</v>
      </c>
      <c r="Q868" s="9">
        <v>24218.26</v>
      </c>
      <c r="R868" s="17">
        <f t="shared" si="13"/>
        <v>0.25701220418125859</v>
      </c>
    </row>
    <row r="869" spans="2:18" x14ac:dyDescent="0.3">
      <c r="B869" s="21" t="s">
        <v>1786</v>
      </c>
      <c r="C869" s="11">
        <v>45323</v>
      </c>
      <c r="D869" s="10" t="s">
        <v>1787</v>
      </c>
      <c r="E869" s="10" t="s">
        <v>28</v>
      </c>
      <c r="F869" s="10" t="s">
        <v>37</v>
      </c>
      <c r="G869" s="10">
        <v>33</v>
      </c>
      <c r="H869" s="10" t="s">
        <v>20</v>
      </c>
      <c r="I869" s="10" t="s">
        <v>21</v>
      </c>
      <c r="J869" s="10" t="s">
        <v>50</v>
      </c>
      <c r="K869" s="10" t="s">
        <v>23</v>
      </c>
      <c r="L869" s="10" t="s">
        <v>24</v>
      </c>
      <c r="M869" s="10" t="s">
        <v>52</v>
      </c>
      <c r="N869" s="10">
        <v>4</v>
      </c>
      <c r="O869" s="10">
        <v>35517</v>
      </c>
      <c r="P869" s="10">
        <v>113654.39999999999</v>
      </c>
      <c r="Q869" s="12">
        <v>21444.17</v>
      </c>
      <c r="R869" s="17">
        <f t="shared" si="13"/>
        <v>0.18867874890897315</v>
      </c>
    </row>
    <row r="870" spans="2:18" x14ac:dyDescent="0.3">
      <c r="B870" s="20" t="s">
        <v>1788</v>
      </c>
      <c r="C870" s="8">
        <v>45480</v>
      </c>
      <c r="D870" s="7" t="s">
        <v>1789</v>
      </c>
      <c r="E870" s="7" t="s">
        <v>59</v>
      </c>
      <c r="F870" s="7" t="s">
        <v>19</v>
      </c>
      <c r="G870" s="7">
        <v>57</v>
      </c>
      <c r="H870" s="7" t="s">
        <v>20</v>
      </c>
      <c r="I870" s="7" t="s">
        <v>39</v>
      </c>
      <c r="J870" s="7" t="s">
        <v>30</v>
      </c>
      <c r="K870" s="7" t="s">
        <v>51</v>
      </c>
      <c r="L870" s="7" t="s">
        <v>80</v>
      </c>
      <c r="M870" s="7" t="s">
        <v>52</v>
      </c>
      <c r="N870" s="7">
        <v>4</v>
      </c>
      <c r="O870" s="7">
        <v>39189</v>
      </c>
      <c r="P870" s="7">
        <v>141080.4</v>
      </c>
      <c r="Q870" s="9">
        <v>44833.87</v>
      </c>
      <c r="R870" s="17">
        <f t="shared" si="13"/>
        <v>0.3177895015891648</v>
      </c>
    </row>
    <row r="871" spans="2:18" x14ac:dyDescent="0.3">
      <c r="B871" s="21" t="s">
        <v>1790</v>
      </c>
      <c r="C871" s="11">
        <v>45515</v>
      </c>
      <c r="D871" s="10" t="s">
        <v>1791</v>
      </c>
      <c r="E871" s="10" t="s">
        <v>44</v>
      </c>
      <c r="F871" s="10" t="s">
        <v>37</v>
      </c>
      <c r="G871" s="10">
        <v>34</v>
      </c>
      <c r="H871" s="10" t="s">
        <v>45</v>
      </c>
      <c r="I871" s="10" t="s">
        <v>21</v>
      </c>
      <c r="J871" s="10" t="s">
        <v>50</v>
      </c>
      <c r="K871" s="10" t="s">
        <v>31</v>
      </c>
      <c r="L871" s="10" t="s">
        <v>47</v>
      </c>
      <c r="M871" s="10" t="s">
        <v>25</v>
      </c>
      <c r="N871" s="10">
        <v>1</v>
      </c>
      <c r="O871" s="10">
        <v>6339</v>
      </c>
      <c r="P871" s="10">
        <v>5705.1</v>
      </c>
      <c r="Q871" s="12">
        <v>1124.1099999999999</v>
      </c>
      <c r="R871" s="17">
        <f t="shared" si="13"/>
        <v>0.19703598534644437</v>
      </c>
    </row>
    <row r="872" spans="2:18" x14ac:dyDescent="0.3">
      <c r="B872" s="20" t="s">
        <v>1792</v>
      </c>
      <c r="C872" s="8">
        <v>45592</v>
      </c>
      <c r="D872" s="7" t="s">
        <v>1793</v>
      </c>
      <c r="E872" s="7" t="s">
        <v>18</v>
      </c>
      <c r="F872" s="7" t="s">
        <v>19</v>
      </c>
      <c r="G872" s="7">
        <v>23</v>
      </c>
      <c r="H872" s="7" t="s">
        <v>38</v>
      </c>
      <c r="I872" s="7" t="s">
        <v>21</v>
      </c>
      <c r="J872" s="7" t="s">
        <v>22</v>
      </c>
      <c r="K872" s="7" t="s">
        <v>31</v>
      </c>
      <c r="L872" s="7" t="s">
        <v>80</v>
      </c>
      <c r="M872" s="7" t="s">
        <v>52</v>
      </c>
      <c r="N872" s="7">
        <v>3</v>
      </c>
      <c r="O872" s="7">
        <v>22601</v>
      </c>
      <c r="P872" s="7">
        <v>57632.55</v>
      </c>
      <c r="Q872" s="9">
        <v>14567.24</v>
      </c>
      <c r="R872" s="17">
        <f t="shared" si="13"/>
        <v>0.2527606361335738</v>
      </c>
    </row>
    <row r="873" spans="2:18" x14ac:dyDescent="0.3">
      <c r="B873" s="21" t="s">
        <v>1794</v>
      </c>
      <c r="C873" s="11">
        <v>45644</v>
      </c>
      <c r="D873" s="10" t="s">
        <v>1795</v>
      </c>
      <c r="E873" s="10" t="s">
        <v>59</v>
      </c>
      <c r="F873" s="10" t="s">
        <v>37</v>
      </c>
      <c r="G873" s="10">
        <v>42</v>
      </c>
      <c r="H873" s="10" t="s">
        <v>20</v>
      </c>
      <c r="I873" s="10" t="s">
        <v>39</v>
      </c>
      <c r="J873" s="10" t="s">
        <v>22</v>
      </c>
      <c r="K873" s="10" t="s">
        <v>51</v>
      </c>
      <c r="L873" s="10" t="s">
        <v>32</v>
      </c>
      <c r="M873" s="10" t="s">
        <v>25</v>
      </c>
      <c r="N873" s="10">
        <v>5</v>
      </c>
      <c r="O873" s="10">
        <v>24531</v>
      </c>
      <c r="P873" s="10">
        <v>98124</v>
      </c>
      <c r="Q873" s="12">
        <v>17287.310000000001</v>
      </c>
      <c r="R873" s="17">
        <f t="shared" si="13"/>
        <v>0.17617820308996782</v>
      </c>
    </row>
    <row r="874" spans="2:18" x14ac:dyDescent="0.3">
      <c r="B874" s="20" t="s">
        <v>1796</v>
      </c>
      <c r="C874" s="8">
        <v>45551</v>
      </c>
      <c r="D874" s="7" t="s">
        <v>1797</v>
      </c>
      <c r="E874" s="7" t="s">
        <v>59</v>
      </c>
      <c r="F874" s="7" t="s">
        <v>19</v>
      </c>
      <c r="G874" s="7">
        <v>54</v>
      </c>
      <c r="H874" s="7" t="s">
        <v>45</v>
      </c>
      <c r="I874" s="7" t="s">
        <v>39</v>
      </c>
      <c r="J874" s="7" t="s">
        <v>22</v>
      </c>
      <c r="K874" s="7" t="s">
        <v>40</v>
      </c>
      <c r="L874" s="7" t="s">
        <v>24</v>
      </c>
      <c r="M874" s="7" t="s">
        <v>52</v>
      </c>
      <c r="N874" s="7">
        <v>3</v>
      </c>
      <c r="O874" s="7">
        <v>34651</v>
      </c>
      <c r="P874" s="7">
        <v>83162.399999999994</v>
      </c>
      <c r="Q874" s="9">
        <v>16086.53</v>
      </c>
      <c r="R874" s="17">
        <f t="shared" si="13"/>
        <v>0.19343513414716268</v>
      </c>
    </row>
    <row r="875" spans="2:18" x14ac:dyDescent="0.3">
      <c r="B875" s="21" t="s">
        <v>1798</v>
      </c>
      <c r="C875" s="11">
        <v>45391</v>
      </c>
      <c r="D875" s="10" t="s">
        <v>1799</v>
      </c>
      <c r="E875" s="10" t="s">
        <v>28</v>
      </c>
      <c r="F875" s="10" t="s">
        <v>19</v>
      </c>
      <c r="G875" s="10">
        <v>30</v>
      </c>
      <c r="H875" s="10" t="s">
        <v>56</v>
      </c>
      <c r="I875" s="10" t="s">
        <v>39</v>
      </c>
      <c r="J875" s="10" t="s">
        <v>30</v>
      </c>
      <c r="K875" s="10" t="s">
        <v>31</v>
      </c>
      <c r="L875" s="10" t="s">
        <v>80</v>
      </c>
      <c r="M875" s="10" t="s">
        <v>25</v>
      </c>
      <c r="N875" s="10">
        <v>3</v>
      </c>
      <c r="O875" s="10">
        <v>49398</v>
      </c>
      <c r="P875" s="10">
        <v>133374.6</v>
      </c>
      <c r="Q875" s="12">
        <v>39869.19</v>
      </c>
      <c r="R875" s="17">
        <f t="shared" si="13"/>
        <v>0.2989264072769478</v>
      </c>
    </row>
    <row r="876" spans="2:18" x14ac:dyDescent="0.3">
      <c r="B876" s="20" t="s">
        <v>1800</v>
      </c>
      <c r="C876" s="8">
        <v>45487</v>
      </c>
      <c r="D876" s="7" t="s">
        <v>1801</v>
      </c>
      <c r="E876" s="7" t="s">
        <v>18</v>
      </c>
      <c r="F876" s="7" t="s">
        <v>37</v>
      </c>
      <c r="G876" s="7">
        <v>27</v>
      </c>
      <c r="H876" s="7" t="s">
        <v>29</v>
      </c>
      <c r="I876" s="7" t="s">
        <v>21</v>
      </c>
      <c r="J876" s="7" t="s">
        <v>30</v>
      </c>
      <c r="K876" s="7" t="s">
        <v>69</v>
      </c>
      <c r="L876" s="7" t="s">
        <v>60</v>
      </c>
      <c r="M876" s="7" t="s">
        <v>33</v>
      </c>
      <c r="N876" s="7">
        <v>5</v>
      </c>
      <c r="O876" s="7">
        <v>47749</v>
      </c>
      <c r="P876" s="7">
        <v>190996</v>
      </c>
      <c r="Q876" s="9">
        <v>69196.820000000007</v>
      </c>
      <c r="R876" s="17">
        <f t="shared" si="13"/>
        <v>0.36229460302833572</v>
      </c>
    </row>
    <row r="877" spans="2:18" x14ac:dyDescent="0.3">
      <c r="B877" s="21" t="s">
        <v>1802</v>
      </c>
      <c r="C877" s="11">
        <v>45600</v>
      </c>
      <c r="D877" s="10" t="s">
        <v>1803</v>
      </c>
      <c r="E877" s="10" t="s">
        <v>55</v>
      </c>
      <c r="F877" s="10" t="s">
        <v>37</v>
      </c>
      <c r="G877" s="10">
        <v>29</v>
      </c>
      <c r="H877" s="10" t="s">
        <v>20</v>
      </c>
      <c r="I877" s="10" t="s">
        <v>39</v>
      </c>
      <c r="J877" s="10" t="s">
        <v>50</v>
      </c>
      <c r="K877" s="10" t="s">
        <v>69</v>
      </c>
      <c r="L877" s="10" t="s">
        <v>47</v>
      </c>
      <c r="M877" s="10" t="s">
        <v>52</v>
      </c>
      <c r="N877" s="10">
        <v>5</v>
      </c>
      <c r="O877" s="10">
        <v>39012</v>
      </c>
      <c r="P877" s="10">
        <v>165801</v>
      </c>
      <c r="Q877" s="12">
        <v>64789.4</v>
      </c>
      <c r="R877" s="17">
        <f t="shared" si="13"/>
        <v>0.39076603880555605</v>
      </c>
    </row>
    <row r="878" spans="2:18" x14ac:dyDescent="0.3">
      <c r="B878" s="20" t="s">
        <v>1804</v>
      </c>
      <c r="C878" s="8">
        <v>45447</v>
      </c>
      <c r="D878" s="7" t="s">
        <v>1805</v>
      </c>
      <c r="E878" s="7" t="s">
        <v>44</v>
      </c>
      <c r="F878" s="7" t="s">
        <v>37</v>
      </c>
      <c r="G878" s="7">
        <v>22</v>
      </c>
      <c r="H878" s="7" t="s">
        <v>38</v>
      </c>
      <c r="I878" s="7" t="s">
        <v>39</v>
      </c>
      <c r="J878" s="7" t="s">
        <v>50</v>
      </c>
      <c r="K878" s="7" t="s">
        <v>40</v>
      </c>
      <c r="L878" s="7" t="s">
        <v>60</v>
      </c>
      <c r="M878" s="7" t="s">
        <v>52</v>
      </c>
      <c r="N878" s="7">
        <v>1</v>
      </c>
      <c r="O878" s="7">
        <v>15230</v>
      </c>
      <c r="P878" s="7">
        <v>12184</v>
      </c>
      <c r="Q878" s="9">
        <v>3598.74</v>
      </c>
      <c r="R878" s="17">
        <f t="shared" si="13"/>
        <v>0.29536605384110309</v>
      </c>
    </row>
    <row r="879" spans="2:18" x14ac:dyDescent="0.3">
      <c r="B879" s="21" t="s">
        <v>1806</v>
      </c>
      <c r="C879" s="11">
        <v>45297</v>
      </c>
      <c r="D879" s="10" t="s">
        <v>1807</v>
      </c>
      <c r="E879" s="10" t="s">
        <v>59</v>
      </c>
      <c r="F879" s="10" t="s">
        <v>37</v>
      </c>
      <c r="G879" s="10">
        <v>44</v>
      </c>
      <c r="H879" s="10" t="s">
        <v>20</v>
      </c>
      <c r="I879" s="10" t="s">
        <v>46</v>
      </c>
      <c r="J879" s="10" t="s">
        <v>22</v>
      </c>
      <c r="K879" s="10" t="s">
        <v>69</v>
      </c>
      <c r="L879" s="10" t="s">
        <v>60</v>
      </c>
      <c r="M879" s="10" t="s">
        <v>41</v>
      </c>
      <c r="N879" s="10">
        <v>4</v>
      </c>
      <c r="O879" s="10">
        <v>35773</v>
      </c>
      <c r="P879" s="10">
        <v>121628.2</v>
      </c>
      <c r="Q879" s="12">
        <v>39832.33</v>
      </c>
      <c r="R879" s="17">
        <f t="shared" si="13"/>
        <v>0.32749255518045983</v>
      </c>
    </row>
    <row r="880" spans="2:18" x14ac:dyDescent="0.3">
      <c r="B880" s="20" t="s">
        <v>1808</v>
      </c>
      <c r="C880" s="8">
        <v>45597</v>
      </c>
      <c r="D880" s="7" t="s">
        <v>1809</v>
      </c>
      <c r="E880" s="7" t="s">
        <v>55</v>
      </c>
      <c r="F880" s="7" t="s">
        <v>19</v>
      </c>
      <c r="G880" s="7">
        <v>54</v>
      </c>
      <c r="H880" s="7" t="s">
        <v>38</v>
      </c>
      <c r="I880" s="7" t="s">
        <v>46</v>
      </c>
      <c r="J880" s="7" t="s">
        <v>22</v>
      </c>
      <c r="K880" s="7" t="s">
        <v>69</v>
      </c>
      <c r="L880" s="7" t="s">
        <v>60</v>
      </c>
      <c r="M880" s="7" t="s">
        <v>52</v>
      </c>
      <c r="N880" s="7">
        <v>4</v>
      </c>
      <c r="O880" s="7">
        <v>32021</v>
      </c>
      <c r="P880" s="7">
        <v>128084</v>
      </c>
      <c r="Q880" s="9">
        <v>50562.67</v>
      </c>
      <c r="R880" s="17">
        <f t="shared" si="13"/>
        <v>0.39476179694575436</v>
      </c>
    </row>
    <row r="881" spans="2:18" x14ac:dyDescent="0.3">
      <c r="B881" s="21" t="s">
        <v>1810</v>
      </c>
      <c r="C881" s="11">
        <v>45378</v>
      </c>
      <c r="D881" s="10" t="s">
        <v>1811</v>
      </c>
      <c r="E881" s="10" t="s">
        <v>79</v>
      </c>
      <c r="F881" s="10" t="s">
        <v>19</v>
      </c>
      <c r="G881" s="10">
        <v>57</v>
      </c>
      <c r="H881" s="10" t="s">
        <v>45</v>
      </c>
      <c r="I881" s="10" t="s">
        <v>21</v>
      </c>
      <c r="J881" s="10" t="s">
        <v>22</v>
      </c>
      <c r="K881" s="10" t="s">
        <v>23</v>
      </c>
      <c r="L881" s="10" t="s">
        <v>60</v>
      </c>
      <c r="M881" s="10" t="s">
        <v>25</v>
      </c>
      <c r="N881" s="10">
        <v>1</v>
      </c>
      <c r="O881" s="10">
        <v>7446</v>
      </c>
      <c r="P881" s="10">
        <v>5956.8</v>
      </c>
      <c r="Q881" s="12">
        <v>1903.17</v>
      </c>
      <c r="R881" s="17">
        <f t="shared" si="13"/>
        <v>0.3194953666398066</v>
      </c>
    </row>
    <row r="882" spans="2:18" x14ac:dyDescent="0.3">
      <c r="B882" s="20" t="s">
        <v>1812</v>
      </c>
      <c r="C882" s="8">
        <v>45296</v>
      </c>
      <c r="D882" s="7" t="s">
        <v>1813</v>
      </c>
      <c r="E882" s="7" t="s">
        <v>79</v>
      </c>
      <c r="F882" s="7" t="s">
        <v>19</v>
      </c>
      <c r="G882" s="7">
        <v>26</v>
      </c>
      <c r="H882" s="7" t="s">
        <v>20</v>
      </c>
      <c r="I882" s="7" t="s">
        <v>21</v>
      </c>
      <c r="J882" s="7" t="s">
        <v>30</v>
      </c>
      <c r="K882" s="7" t="s">
        <v>69</v>
      </c>
      <c r="L882" s="7" t="s">
        <v>32</v>
      </c>
      <c r="M882" s="7" t="s">
        <v>25</v>
      </c>
      <c r="N882" s="7">
        <v>1</v>
      </c>
      <c r="O882" s="7">
        <v>38815</v>
      </c>
      <c r="P882" s="7">
        <v>38815</v>
      </c>
      <c r="Q882" s="9">
        <v>12125.09</v>
      </c>
      <c r="R882" s="17">
        <f t="shared" si="13"/>
        <v>0.31238155352312252</v>
      </c>
    </row>
    <row r="883" spans="2:18" x14ac:dyDescent="0.3">
      <c r="B883" s="21" t="s">
        <v>1814</v>
      </c>
      <c r="C883" s="11">
        <v>45639</v>
      </c>
      <c r="D883" s="10" t="s">
        <v>1815</v>
      </c>
      <c r="E883" s="10" t="s">
        <v>59</v>
      </c>
      <c r="F883" s="10" t="s">
        <v>19</v>
      </c>
      <c r="G883" s="10">
        <v>47</v>
      </c>
      <c r="H883" s="10" t="s">
        <v>45</v>
      </c>
      <c r="I883" s="10" t="s">
        <v>39</v>
      </c>
      <c r="J883" s="10" t="s">
        <v>30</v>
      </c>
      <c r="K883" s="10" t="s">
        <v>31</v>
      </c>
      <c r="L883" s="10" t="s">
        <v>24</v>
      </c>
      <c r="M883" s="10" t="s">
        <v>52</v>
      </c>
      <c r="N883" s="10">
        <v>5</v>
      </c>
      <c r="O883" s="10">
        <v>48169</v>
      </c>
      <c r="P883" s="10">
        <v>228802.75</v>
      </c>
      <c r="Q883" s="12">
        <v>36892.04</v>
      </c>
      <c r="R883" s="17">
        <f t="shared" si="13"/>
        <v>0.16123949559172693</v>
      </c>
    </row>
    <row r="884" spans="2:18" x14ac:dyDescent="0.3">
      <c r="B884" s="20" t="s">
        <v>1816</v>
      </c>
      <c r="C884" s="8">
        <v>45613</v>
      </c>
      <c r="D884" s="7" t="s">
        <v>1817</v>
      </c>
      <c r="E884" s="7" t="s">
        <v>36</v>
      </c>
      <c r="F884" s="7" t="s">
        <v>19</v>
      </c>
      <c r="G884" s="7">
        <v>59</v>
      </c>
      <c r="H884" s="7" t="s">
        <v>66</v>
      </c>
      <c r="I884" s="7" t="s">
        <v>21</v>
      </c>
      <c r="J884" s="7" t="s">
        <v>22</v>
      </c>
      <c r="K884" s="7" t="s">
        <v>69</v>
      </c>
      <c r="L884" s="7" t="s">
        <v>24</v>
      </c>
      <c r="M884" s="7" t="s">
        <v>33</v>
      </c>
      <c r="N884" s="7">
        <v>2</v>
      </c>
      <c r="O884" s="7">
        <v>23713</v>
      </c>
      <c r="P884" s="7">
        <v>40312.1</v>
      </c>
      <c r="Q884" s="9">
        <v>9615.3700000000008</v>
      </c>
      <c r="R884" s="17">
        <f t="shared" si="13"/>
        <v>0.2385231729431114</v>
      </c>
    </row>
    <row r="885" spans="2:18" x14ac:dyDescent="0.3">
      <c r="B885" s="21" t="s">
        <v>1818</v>
      </c>
      <c r="C885" s="11">
        <v>45555</v>
      </c>
      <c r="D885" s="10" t="s">
        <v>1819</v>
      </c>
      <c r="E885" s="10" t="s">
        <v>44</v>
      </c>
      <c r="F885" s="10" t="s">
        <v>19</v>
      </c>
      <c r="G885" s="10">
        <v>24</v>
      </c>
      <c r="H885" s="10" t="s">
        <v>66</v>
      </c>
      <c r="I885" s="10" t="s">
        <v>46</v>
      </c>
      <c r="J885" s="10" t="s">
        <v>30</v>
      </c>
      <c r="K885" s="10" t="s">
        <v>23</v>
      </c>
      <c r="L885" s="10" t="s">
        <v>80</v>
      </c>
      <c r="M885" s="10" t="s">
        <v>33</v>
      </c>
      <c r="N885" s="10">
        <v>3</v>
      </c>
      <c r="O885" s="10">
        <v>44627</v>
      </c>
      <c r="P885" s="10">
        <v>113798.85</v>
      </c>
      <c r="Q885" s="12">
        <v>19016.04</v>
      </c>
      <c r="R885" s="17">
        <f t="shared" si="13"/>
        <v>0.16710221588355242</v>
      </c>
    </row>
    <row r="886" spans="2:18" x14ac:dyDescent="0.3">
      <c r="B886" s="20" t="s">
        <v>1820</v>
      </c>
      <c r="C886" s="8">
        <v>45468</v>
      </c>
      <c r="D886" s="7" t="s">
        <v>1821</v>
      </c>
      <c r="E886" s="7" t="s">
        <v>93</v>
      </c>
      <c r="F886" s="7" t="s">
        <v>37</v>
      </c>
      <c r="G886" s="7">
        <v>34</v>
      </c>
      <c r="H886" s="7" t="s">
        <v>38</v>
      </c>
      <c r="I886" s="7" t="s">
        <v>21</v>
      </c>
      <c r="J886" s="7" t="s">
        <v>30</v>
      </c>
      <c r="K886" s="7" t="s">
        <v>31</v>
      </c>
      <c r="L886" s="7" t="s">
        <v>24</v>
      </c>
      <c r="M886" s="7" t="s">
        <v>52</v>
      </c>
      <c r="N886" s="7">
        <v>4</v>
      </c>
      <c r="O886" s="7">
        <v>19249</v>
      </c>
      <c r="P886" s="7">
        <v>61596.800000000003</v>
      </c>
      <c r="Q886" s="9">
        <v>18945.71</v>
      </c>
      <c r="R886" s="17">
        <f t="shared" si="13"/>
        <v>0.30757620525741591</v>
      </c>
    </row>
    <row r="887" spans="2:18" x14ac:dyDescent="0.3">
      <c r="B887" s="21" t="s">
        <v>1822</v>
      </c>
      <c r="C887" s="11">
        <v>45584</v>
      </c>
      <c r="D887" s="10" t="s">
        <v>1823</v>
      </c>
      <c r="E887" s="10" t="s">
        <v>65</v>
      </c>
      <c r="F887" s="10" t="s">
        <v>19</v>
      </c>
      <c r="G887" s="10">
        <v>22</v>
      </c>
      <c r="H887" s="10" t="s">
        <v>56</v>
      </c>
      <c r="I887" s="10" t="s">
        <v>21</v>
      </c>
      <c r="J887" s="10" t="s">
        <v>22</v>
      </c>
      <c r="K887" s="10" t="s">
        <v>23</v>
      </c>
      <c r="L887" s="10" t="s">
        <v>32</v>
      </c>
      <c r="M887" s="10" t="s">
        <v>41</v>
      </c>
      <c r="N887" s="10">
        <v>3</v>
      </c>
      <c r="O887" s="10">
        <v>17513</v>
      </c>
      <c r="P887" s="10">
        <v>49912.05</v>
      </c>
      <c r="Q887" s="12">
        <v>8730.31</v>
      </c>
      <c r="R887" s="17">
        <f t="shared" si="13"/>
        <v>0.17491387350349263</v>
      </c>
    </row>
    <row r="888" spans="2:18" x14ac:dyDescent="0.3">
      <c r="B888" s="20" t="s">
        <v>1824</v>
      </c>
      <c r="C888" s="8">
        <v>45413</v>
      </c>
      <c r="D888" s="7" t="s">
        <v>1825</v>
      </c>
      <c r="E888" s="7" t="s">
        <v>18</v>
      </c>
      <c r="F888" s="7" t="s">
        <v>37</v>
      </c>
      <c r="G888" s="7">
        <v>51</v>
      </c>
      <c r="H888" s="7" t="s">
        <v>38</v>
      </c>
      <c r="I888" s="7" t="s">
        <v>39</v>
      </c>
      <c r="J888" s="7" t="s">
        <v>22</v>
      </c>
      <c r="K888" s="7" t="s">
        <v>23</v>
      </c>
      <c r="L888" s="7" t="s">
        <v>80</v>
      </c>
      <c r="M888" s="7" t="s">
        <v>41</v>
      </c>
      <c r="N888" s="7">
        <v>2</v>
      </c>
      <c r="O888" s="7">
        <v>38473</v>
      </c>
      <c r="P888" s="7">
        <v>73098.7</v>
      </c>
      <c r="Q888" s="9">
        <v>14130.77</v>
      </c>
      <c r="R888" s="17">
        <f t="shared" si="13"/>
        <v>0.19331082495311136</v>
      </c>
    </row>
    <row r="889" spans="2:18" x14ac:dyDescent="0.3">
      <c r="B889" s="21" t="s">
        <v>1826</v>
      </c>
      <c r="C889" s="11">
        <v>45637</v>
      </c>
      <c r="D889" s="10" t="s">
        <v>1827</v>
      </c>
      <c r="E889" s="10" t="s">
        <v>65</v>
      </c>
      <c r="F889" s="10" t="s">
        <v>19</v>
      </c>
      <c r="G889" s="10">
        <v>51</v>
      </c>
      <c r="H889" s="10" t="s">
        <v>45</v>
      </c>
      <c r="I889" s="10" t="s">
        <v>39</v>
      </c>
      <c r="J889" s="10" t="s">
        <v>22</v>
      </c>
      <c r="K889" s="10" t="s">
        <v>23</v>
      </c>
      <c r="L889" s="10" t="s">
        <v>47</v>
      </c>
      <c r="M889" s="10" t="s">
        <v>25</v>
      </c>
      <c r="N889" s="10">
        <v>4</v>
      </c>
      <c r="O889" s="10">
        <v>4363</v>
      </c>
      <c r="P889" s="10">
        <v>13961.6</v>
      </c>
      <c r="Q889" s="12">
        <v>2669.58</v>
      </c>
      <c r="R889" s="17">
        <f t="shared" si="13"/>
        <v>0.19120874398349758</v>
      </c>
    </row>
    <row r="890" spans="2:18" x14ac:dyDescent="0.3">
      <c r="B890" s="20" t="s">
        <v>1828</v>
      </c>
      <c r="C890" s="8">
        <v>45388</v>
      </c>
      <c r="D890" s="7" t="s">
        <v>1829</v>
      </c>
      <c r="E890" s="7" t="s">
        <v>79</v>
      </c>
      <c r="F890" s="7" t="s">
        <v>37</v>
      </c>
      <c r="G890" s="7">
        <v>59</v>
      </c>
      <c r="H890" s="7" t="s">
        <v>56</v>
      </c>
      <c r="I890" s="7" t="s">
        <v>46</v>
      </c>
      <c r="J890" s="7" t="s">
        <v>22</v>
      </c>
      <c r="K890" s="7" t="s">
        <v>40</v>
      </c>
      <c r="L890" s="7" t="s">
        <v>47</v>
      </c>
      <c r="M890" s="7" t="s">
        <v>52</v>
      </c>
      <c r="N890" s="7">
        <v>5</v>
      </c>
      <c r="O890" s="7">
        <v>31683</v>
      </c>
      <c r="P890" s="7">
        <v>126732</v>
      </c>
      <c r="Q890" s="9">
        <v>46708.28</v>
      </c>
      <c r="R890" s="17">
        <f t="shared" si="13"/>
        <v>0.36855947984723669</v>
      </c>
    </row>
    <row r="891" spans="2:18" x14ac:dyDescent="0.3">
      <c r="B891" s="21" t="s">
        <v>1830</v>
      </c>
      <c r="C891" s="11">
        <v>45303</v>
      </c>
      <c r="D891" s="10" t="s">
        <v>1831</v>
      </c>
      <c r="E891" s="10" t="s">
        <v>18</v>
      </c>
      <c r="F891" s="10" t="s">
        <v>19</v>
      </c>
      <c r="G891" s="10">
        <v>60</v>
      </c>
      <c r="H891" s="10" t="s">
        <v>56</v>
      </c>
      <c r="I891" s="10" t="s">
        <v>21</v>
      </c>
      <c r="J891" s="10" t="s">
        <v>50</v>
      </c>
      <c r="K891" s="10" t="s">
        <v>51</v>
      </c>
      <c r="L891" s="10" t="s">
        <v>32</v>
      </c>
      <c r="M891" s="10" t="s">
        <v>41</v>
      </c>
      <c r="N891" s="10">
        <v>2</v>
      </c>
      <c r="O891" s="10">
        <v>25304</v>
      </c>
      <c r="P891" s="10">
        <v>45547.199999999997</v>
      </c>
      <c r="Q891" s="12">
        <v>7165.42</v>
      </c>
      <c r="R891" s="17">
        <f t="shared" si="13"/>
        <v>0.15731856184353815</v>
      </c>
    </row>
    <row r="892" spans="2:18" x14ac:dyDescent="0.3">
      <c r="B892" s="20" t="s">
        <v>1832</v>
      </c>
      <c r="C892" s="8">
        <v>45412</v>
      </c>
      <c r="D892" s="7" t="s">
        <v>1833</v>
      </c>
      <c r="E892" s="7" t="s">
        <v>18</v>
      </c>
      <c r="F892" s="7" t="s">
        <v>19</v>
      </c>
      <c r="G892" s="7">
        <v>22</v>
      </c>
      <c r="H892" s="7" t="s">
        <v>56</v>
      </c>
      <c r="I892" s="7" t="s">
        <v>21</v>
      </c>
      <c r="J892" s="7" t="s">
        <v>50</v>
      </c>
      <c r="K892" s="7" t="s">
        <v>51</v>
      </c>
      <c r="L892" s="7" t="s">
        <v>24</v>
      </c>
      <c r="M892" s="7" t="s">
        <v>25</v>
      </c>
      <c r="N892" s="7">
        <v>1</v>
      </c>
      <c r="O892" s="7">
        <v>15412</v>
      </c>
      <c r="P892" s="7">
        <v>14641.4</v>
      </c>
      <c r="Q892" s="9">
        <v>5415.5</v>
      </c>
      <c r="R892" s="17">
        <f t="shared" si="13"/>
        <v>0.3698758315461636</v>
      </c>
    </row>
    <row r="893" spans="2:18" x14ac:dyDescent="0.3">
      <c r="B893" s="21" t="s">
        <v>1834</v>
      </c>
      <c r="C893" s="11">
        <v>45301</v>
      </c>
      <c r="D893" s="10" t="s">
        <v>1835</v>
      </c>
      <c r="E893" s="10" t="s">
        <v>79</v>
      </c>
      <c r="F893" s="10" t="s">
        <v>37</v>
      </c>
      <c r="G893" s="10">
        <v>31</v>
      </c>
      <c r="H893" s="10" t="s">
        <v>66</v>
      </c>
      <c r="I893" s="10" t="s">
        <v>21</v>
      </c>
      <c r="J893" s="10" t="s">
        <v>22</v>
      </c>
      <c r="K893" s="10" t="s">
        <v>51</v>
      </c>
      <c r="L893" s="10" t="s">
        <v>80</v>
      </c>
      <c r="M893" s="10" t="s">
        <v>52</v>
      </c>
      <c r="N893" s="10">
        <v>2</v>
      </c>
      <c r="O893" s="10">
        <v>19903</v>
      </c>
      <c r="P893" s="10">
        <v>35825.4</v>
      </c>
      <c r="Q893" s="12">
        <v>5487.77</v>
      </c>
      <c r="R893" s="17">
        <f t="shared" si="13"/>
        <v>0.15318098332468025</v>
      </c>
    </row>
    <row r="894" spans="2:18" x14ac:dyDescent="0.3">
      <c r="B894" s="20" t="s">
        <v>1836</v>
      </c>
      <c r="C894" s="8">
        <v>45643</v>
      </c>
      <c r="D894" s="7" t="s">
        <v>1837</v>
      </c>
      <c r="E894" s="7" t="s">
        <v>65</v>
      </c>
      <c r="F894" s="7" t="s">
        <v>19</v>
      </c>
      <c r="G894" s="7">
        <v>19</v>
      </c>
      <c r="H894" s="7" t="s">
        <v>29</v>
      </c>
      <c r="I894" s="7" t="s">
        <v>21</v>
      </c>
      <c r="J894" s="7" t="s">
        <v>50</v>
      </c>
      <c r="K894" s="7" t="s">
        <v>40</v>
      </c>
      <c r="L894" s="7" t="s">
        <v>47</v>
      </c>
      <c r="M894" s="7" t="s">
        <v>52</v>
      </c>
      <c r="N894" s="7">
        <v>5</v>
      </c>
      <c r="O894" s="7">
        <v>27908</v>
      </c>
      <c r="P894" s="7">
        <v>132563</v>
      </c>
      <c r="Q894" s="9">
        <v>21272.68</v>
      </c>
      <c r="R894" s="17">
        <f t="shared" si="13"/>
        <v>0.16047222829899746</v>
      </c>
    </row>
    <row r="895" spans="2:18" x14ac:dyDescent="0.3">
      <c r="B895" s="21" t="s">
        <v>1838</v>
      </c>
      <c r="C895" s="11">
        <v>45642</v>
      </c>
      <c r="D895" s="10" t="s">
        <v>1839</v>
      </c>
      <c r="E895" s="10" t="s">
        <v>36</v>
      </c>
      <c r="F895" s="10" t="s">
        <v>19</v>
      </c>
      <c r="G895" s="10">
        <v>58</v>
      </c>
      <c r="H895" s="10" t="s">
        <v>20</v>
      </c>
      <c r="I895" s="10" t="s">
        <v>21</v>
      </c>
      <c r="J895" s="10" t="s">
        <v>30</v>
      </c>
      <c r="K895" s="10" t="s">
        <v>23</v>
      </c>
      <c r="L895" s="10" t="s">
        <v>60</v>
      </c>
      <c r="M895" s="10" t="s">
        <v>33</v>
      </c>
      <c r="N895" s="10">
        <v>5</v>
      </c>
      <c r="O895" s="10">
        <v>35327</v>
      </c>
      <c r="P895" s="10">
        <v>167803.25</v>
      </c>
      <c r="Q895" s="12">
        <v>32048.21</v>
      </c>
      <c r="R895" s="17">
        <f t="shared" si="13"/>
        <v>0.19098682534456274</v>
      </c>
    </row>
    <row r="896" spans="2:18" x14ac:dyDescent="0.3">
      <c r="B896" s="20" t="s">
        <v>1840</v>
      </c>
      <c r="C896" s="8">
        <v>45620</v>
      </c>
      <c r="D896" s="7" t="s">
        <v>1841</v>
      </c>
      <c r="E896" s="7" t="s">
        <v>65</v>
      </c>
      <c r="F896" s="7" t="s">
        <v>19</v>
      </c>
      <c r="G896" s="7">
        <v>45</v>
      </c>
      <c r="H896" s="7" t="s">
        <v>66</v>
      </c>
      <c r="I896" s="7" t="s">
        <v>39</v>
      </c>
      <c r="J896" s="7" t="s">
        <v>22</v>
      </c>
      <c r="K896" s="7" t="s">
        <v>51</v>
      </c>
      <c r="L896" s="7" t="s">
        <v>60</v>
      </c>
      <c r="M896" s="7" t="s">
        <v>41</v>
      </c>
      <c r="N896" s="7">
        <v>4</v>
      </c>
      <c r="O896" s="7">
        <v>26187</v>
      </c>
      <c r="P896" s="7">
        <v>104748</v>
      </c>
      <c r="Q896" s="9">
        <v>29370.76</v>
      </c>
      <c r="R896" s="17">
        <f t="shared" si="13"/>
        <v>0.28039447053881694</v>
      </c>
    </row>
    <row r="897" spans="2:18" x14ac:dyDescent="0.3">
      <c r="B897" s="21" t="s">
        <v>1842</v>
      </c>
      <c r="C897" s="11">
        <v>45476</v>
      </c>
      <c r="D897" s="10" t="s">
        <v>1843</v>
      </c>
      <c r="E897" s="10" t="s">
        <v>18</v>
      </c>
      <c r="F897" s="10" t="s">
        <v>37</v>
      </c>
      <c r="G897" s="10">
        <v>60</v>
      </c>
      <c r="H897" s="10" t="s">
        <v>20</v>
      </c>
      <c r="I897" s="10" t="s">
        <v>21</v>
      </c>
      <c r="J897" s="10" t="s">
        <v>22</v>
      </c>
      <c r="K897" s="10" t="s">
        <v>23</v>
      </c>
      <c r="L897" s="10" t="s">
        <v>47</v>
      </c>
      <c r="M897" s="10" t="s">
        <v>25</v>
      </c>
      <c r="N897" s="10">
        <v>1</v>
      </c>
      <c r="O897" s="10">
        <v>4392</v>
      </c>
      <c r="P897" s="10">
        <v>3952.8</v>
      </c>
      <c r="Q897" s="12">
        <v>1077.4000000000001</v>
      </c>
      <c r="R897" s="17">
        <f t="shared" si="13"/>
        <v>0.27256628212912365</v>
      </c>
    </row>
    <row r="898" spans="2:18" x14ac:dyDescent="0.3">
      <c r="B898" s="20" t="s">
        <v>1844</v>
      </c>
      <c r="C898" s="8">
        <v>45554</v>
      </c>
      <c r="D898" s="7" t="s">
        <v>1845</v>
      </c>
      <c r="E898" s="7" t="s">
        <v>79</v>
      </c>
      <c r="F898" s="7" t="s">
        <v>37</v>
      </c>
      <c r="G898" s="7">
        <v>23</v>
      </c>
      <c r="H898" s="7" t="s">
        <v>20</v>
      </c>
      <c r="I898" s="7" t="s">
        <v>21</v>
      </c>
      <c r="J898" s="7" t="s">
        <v>22</v>
      </c>
      <c r="K898" s="7" t="s">
        <v>40</v>
      </c>
      <c r="L898" s="7" t="s">
        <v>24</v>
      </c>
      <c r="M898" s="7" t="s">
        <v>41</v>
      </c>
      <c r="N898" s="7">
        <v>5</v>
      </c>
      <c r="O898" s="7">
        <v>44079</v>
      </c>
      <c r="P898" s="7">
        <v>187335.75</v>
      </c>
      <c r="Q898" s="9">
        <v>30029.57</v>
      </c>
      <c r="R898" s="17">
        <f t="shared" si="13"/>
        <v>0.16029812782664279</v>
      </c>
    </row>
    <row r="899" spans="2:18" x14ac:dyDescent="0.3">
      <c r="B899" s="21" t="s">
        <v>1846</v>
      </c>
      <c r="C899" s="11">
        <v>45635</v>
      </c>
      <c r="D899" s="10" t="s">
        <v>1847</v>
      </c>
      <c r="E899" s="10" t="s">
        <v>79</v>
      </c>
      <c r="F899" s="10" t="s">
        <v>19</v>
      </c>
      <c r="G899" s="10">
        <v>31</v>
      </c>
      <c r="H899" s="10" t="s">
        <v>66</v>
      </c>
      <c r="I899" s="10" t="s">
        <v>21</v>
      </c>
      <c r="J899" s="10" t="s">
        <v>50</v>
      </c>
      <c r="K899" s="10" t="s">
        <v>31</v>
      </c>
      <c r="L899" s="10" t="s">
        <v>32</v>
      </c>
      <c r="M899" s="10" t="s">
        <v>25</v>
      </c>
      <c r="N899" s="10">
        <v>4</v>
      </c>
      <c r="O899" s="10">
        <v>40630</v>
      </c>
      <c r="P899" s="10">
        <v>162520</v>
      </c>
      <c r="Q899" s="12">
        <v>25258.75</v>
      </c>
      <c r="R899" s="17">
        <f t="shared" si="13"/>
        <v>0.15541933300516861</v>
      </c>
    </row>
    <row r="900" spans="2:18" x14ac:dyDescent="0.3">
      <c r="B900" s="20" t="s">
        <v>1848</v>
      </c>
      <c r="C900" s="8">
        <v>45546</v>
      </c>
      <c r="D900" s="7" t="s">
        <v>1849</v>
      </c>
      <c r="E900" s="7" t="s">
        <v>28</v>
      </c>
      <c r="F900" s="7" t="s">
        <v>37</v>
      </c>
      <c r="G900" s="7">
        <v>26</v>
      </c>
      <c r="H900" s="7" t="s">
        <v>29</v>
      </c>
      <c r="I900" s="7" t="s">
        <v>21</v>
      </c>
      <c r="J900" s="7" t="s">
        <v>50</v>
      </c>
      <c r="K900" s="7" t="s">
        <v>31</v>
      </c>
      <c r="L900" s="7" t="s">
        <v>80</v>
      </c>
      <c r="M900" s="7" t="s">
        <v>41</v>
      </c>
      <c r="N900" s="7">
        <v>4</v>
      </c>
      <c r="O900" s="7">
        <v>42932</v>
      </c>
      <c r="P900" s="7">
        <v>171728</v>
      </c>
      <c r="Q900" s="9">
        <v>26215.89</v>
      </c>
      <c r="R900" s="17">
        <f t="shared" ref="R900:R963" si="14">Q900/P900</f>
        <v>0.15265937994968787</v>
      </c>
    </row>
    <row r="901" spans="2:18" x14ac:dyDescent="0.3">
      <c r="B901" s="21" t="s">
        <v>1850</v>
      </c>
      <c r="C901" s="11">
        <v>45641</v>
      </c>
      <c r="D901" s="10" t="s">
        <v>1851</v>
      </c>
      <c r="E901" s="10" t="s">
        <v>28</v>
      </c>
      <c r="F901" s="10" t="s">
        <v>37</v>
      </c>
      <c r="G901" s="10">
        <v>47</v>
      </c>
      <c r="H901" s="10" t="s">
        <v>66</v>
      </c>
      <c r="I901" s="10" t="s">
        <v>21</v>
      </c>
      <c r="J901" s="10" t="s">
        <v>50</v>
      </c>
      <c r="K901" s="10" t="s">
        <v>23</v>
      </c>
      <c r="L901" s="10" t="s">
        <v>24</v>
      </c>
      <c r="M901" s="10" t="s">
        <v>33</v>
      </c>
      <c r="N901" s="10">
        <v>4</v>
      </c>
      <c r="O901" s="10">
        <v>44375</v>
      </c>
      <c r="P901" s="10">
        <v>150875</v>
      </c>
      <c r="Q901" s="12">
        <v>33166.03</v>
      </c>
      <c r="R901" s="17">
        <f t="shared" si="14"/>
        <v>0.21982455675227836</v>
      </c>
    </row>
    <row r="902" spans="2:18" x14ac:dyDescent="0.3">
      <c r="B902" s="20" t="s">
        <v>1852</v>
      </c>
      <c r="C902" s="8">
        <v>45495</v>
      </c>
      <c r="D902" s="7" t="s">
        <v>1853</v>
      </c>
      <c r="E902" s="7" t="s">
        <v>76</v>
      </c>
      <c r="F902" s="7" t="s">
        <v>37</v>
      </c>
      <c r="G902" s="7">
        <v>33</v>
      </c>
      <c r="H902" s="7" t="s">
        <v>45</v>
      </c>
      <c r="I902" s="7" t="s">
        <v>21</v>
      </c>
      <c r="J902" s="7" t="s">
        <v>30</v>
      </c>
      <c r="K902" s="7" t="s">
        <v>51</v>
      </c>
      <c r="L902" s="7" t="s">
        <v>24</v>
      </c>
      <c r="M902" s="7" t="s">
        <v>33</v>
      </c>
      <c r="N902" s="7">
        <v>3</v>
      </c>
      <c r="O902" s="7">
        <v>11974</v>
      </c>
      <c r="P902" s="7">
        <v>35922</v>
      </c>
      <c r="Q902" s="9">
        <v>11849.63</v>
      </c>
      <c r="R902" s="17">
        <f t="shared" si="14"/>
        <v>0.32987110962641275</v>
      </c>
    </row>
    <row r="903" spans="2:18" x14ac:dyDescent="0.3">
      <c r="B903" s="21" t="s">
        <v>1854</v>
      </c>
      <c r="C903" s="11">
        <v>45343</v>
      </c>
      <c r="D903" s="10" t="s">
        <v>1855</v>
      </c>
      <c r="E903" s="10" t="s">
        <v>79</v>
      </c>
      <c r="F903" s="10" t="s">
        <v>19</v>
      </c>
      <c r="G903" s="10">
        <v>36</v>
      </c>
      <c r="H903" s="10" t="s">
        <v>56</v>
      </c>
      <c r="I903" s="10" t="s">
        <v>21</v>
      </c>
      <c r="J903" s="10" t="s">
        <v>22</v>
      </c>
      <c r="K903" s="10" t="s">
        <v>69</v>
      </c>
      <c r="L903" s="10" t="s">
        <v>24</v>
      </c>
      <c r="M903" s="10" t="s">
        <v>52</v>
      </c>
      <c r="N903" s="10">
        <v>1</v>
      </c>
      <c r="O903" s="10">
        <v>1110</v>
      </c>
      <c r="P903" s="10">
        <v>888</v>
      </c>
      <c r="Q903" s="12">
        <v>334.77</v>
      </c>
      <c r="R903" s="17">
        <f t="shared" si="14"/>
        <v>0.37699324324324324</v>
      </c>
    </row>
    <row r="904" spans="2:18" x14ac:dyDescent="0.3">
      <c r="B904" s="20" t="s">
        <v>1856</v>
      </c>
      <c r="C904" s="8">
        <v>45598</v>
      </c>
      <c r="D904" s="7" t="s">
        <v>1857</v>
      </c>
      <c r="E904" s="7" t="s">
        <v>44</v>
      </c>
      <c r="F904" s="7" t="s">
        <v>37</v>
      </c>
      <c r="G904" s="7">
        <v>18</v>
      </c>
      <c r="H904" s="7" t="s">
        <v>38</v>
      </c>
      <c r="I904" s="7" t="s">
        <v>21</v>
      </c>
      <c r="J904" s="7" t="s">
        <v>30</v>
      </c>
      <c r="K904" s="7" t="s">
        <v>40</v>
      </c>
      <c r="L904" s="7" t="s">
        <v>24</v>
      </c>
      <c r="M904" s="7" t="s">
        <v>41</v>
      </c>
      <c r="N904" s="7">
        <v>3</v>
      </c>
      <c r="O904" s="7">
        <v>41654</v>
      </c>
      <c r="P904" s="7">
        <v>106217.7</v>
      </c>
      <c r="Q904" s="9">
        <v>37263.07</v>
      </c>
      <c r="R904" s="17">
        <f t="shared" si="14"/>
        <v>0.35081789569911609</v>
      </c>
    </row>
    <row r="905" spans="2:18" x14ac:dyDescent="0.3">
      <c r="B905" s="21" t="s">
        <v>1858</v>
      </c>
      <c r="C905" s="11">
        <v>45504</v>
      </c>
      <c r="D905" s="10" t="s">
        <v>1859</v>
      </c>
      <c r="E905" s="10" t="s">
        <v>55</v>
      </c>
      <c r="F905" s="10" t="s">
        <v>19</v>
      </c>
      <c r="G905" s="10">
        <v>30</v>
      </c>
      <c r="H905" s="10" t="s">
        <v>38</v>
      </c>
      <c r="I905" s="10" t="s">
        <v>46</v>
      </c>
      <c r="J905" s="10" t="s">
        <v>30</v>
      </c>
      <c r="K905" s="10" t="s">
        <v>40</v>
      </c>
      <c r="L905" s="10" t="s">
        <v>47</v>
      </c>
      <c r="M905" s="10" t="s">
        <v>33</v>
      </c>
      <c r="N905" s="10">
        <v>1</v>
      </c>
      <c r="O905" s="10">
        <v>43440</v>
      </c>
      <c r="P905" s="10">
        <v>36924</v>
      </c>
      <c r="Q905" s="12">
        <v>12244.01</v>
      </c>
      <c r="R905" s="17">
        <f t="shared" si="14"/>
        <v>0.33160031415881269</v>
      </c>
    </row>
    <row r="906" spans="2:18" x14ac:dyDescent="0.3">
      <c r="B906" s="20" t="s">
        <v>1860</v>
      </c>
      <c r="C906" s="8">
        <v>45446</v>
      </c>
      <c r="D906" s="7" t="s">
        <v>1861</v>
      </c>
      <c r="E906" s="7" t="s">
        <v>76</v>
      </c>
      <c r="F906" s="7" t="s">
        <v>19</v>
      </c>
      <c r="G906" s="7">
        <v>29</v>
      </c>
      <c r="H906" s="7" t="s">
        <v>66</v>
      </c>
      <c r="I906" s="7" t="s">
        <v>21</v>
      </c>
      <c r="J906" s="7" t="s">
        <v>50</v>
      </c>
      <c r="K906" s="7" t="s">
        <v>40</v>
      </c>
      <c r="L906" s="7" t="s">
        <v>60</v>
      </c>
      <c r="M906" s="7" t="s">
        <v>41</v>
      </c>
      <c r="N906" s="7">
        <v>2</v>
      </c>
      <c r="O906" s="7">
        <v>39720</v>
      </c>
      <c r="P906" s="7">
        <v>75468</v>
      </c>
      <c r="Q906" s="9">
        <v>25862.959999999999</v>
      </c>
      <c r="R906" s="17">
        <f t="shared" si="14"/>
        <v>0.34270101234960509</v>
      </c>
    </row>
    <row r="907" spans="2:18" x14ac:dyDescent="0.3">
      <c r="B907" s="21" t="s">
        <v>1862</v>
      </c>
      <c r="C907" s="11">
        <v>45428</v>
      </c>
      <c r="D907" s="10" t="s">
        <v>1863</v>
      </c>
      <c r="E907" s="10" t="s">
        <v>36</v>
      </c>
      <c r="F907" s="10" t="s">
        <v>37</v>
      </c>
      <c r="G907" s="10">
        <v>33</v>
      </c>
      <c r="H907" s="10" t="s">
        <v>56</v>
      </c>
      <c r="I907" s="10" t="s">
        <v>39</v>
      </c>
      <c r="J907" s="10" t="s">
        <v>22</v>
      </c>
      <c r="K907" s="10" t="s">
        <v>31</v>
      </c>
      <c r="L907" s="10" t="s">
        <v>60</v>
      </c>
      <c r="M907" s="10" t="s">
        <v>41</v>
      </c>
      <c r="N907" s="10">
        <v>3</v>
      </c>
      <c r="O907" s="10">
        <v>33656</v>
      </c>
      <c r="P907" s="10">
        <v>80774.399999999994</v>
      </c>
      <c r="Q907" s="12">
        <v>17058.89</v>
      </c>
      <c r="R907" s="17">
        <f t="shared" si="14"/>
        <v>0.21119178848744158</v>
      </c>
    </row>
    <row r="908" spans="2:18" x14ac:dyDescent="0.3">
      <c r="B908" s="20" t="s">
        <v>1864</v>
      </c>
      <c r="C908" s="8">
        <v>45477</v>
      </c>
      <c r="D908" s="7" t="s">
        <v>1865</v>
      </c>
      <c r="E908" s="7" t="s">
        <v>93</v>
      </c>
      <c r="F908" s="7" t="s">
        <v>19</v>
      </c>
      <c r="G908" s="7">
        <v>58</v>
      </c>
      <c r="H908" s="7" t="s">
        <v>56</v>
      </c>
      <c r="I908" s="7" t="s">
        <v>46</v>
      </c>
      <c r="J908" s="7" t="s">
        <v>30</v>
      </c>
      <c r="K908" s="7" t="s">
        <v>69</v>
      </c>
      <c r="L908" s="7" t="s">
        <v>60</v>
      </c>
      <c r="M908" s="7" t="s">
        <v>25</v>
      </c>
      <c r="N908" s="7">
        <v>5</v>
      </c>
      <c r="O908" s="7">
        <v>36481</v>
      </c>
      <c r="P908" s="7">
        <v>145924</v>
      </c>
      <c r="Q908" s="9">
        <v>49335.26</v>
      </c>
      <c r="R908" s="17">
        <f t="shared" si="14"/>
        <v>0.33808873112030924</v>
      </c>
    </row>
    <row r="909" spans="2:18" x14ac:dyDescent="0.3">
      <c r="B909" s="21" t="s">
        <v>1866</v>
      </c>
      <c r="C909" s="11">
        <v>45405</v>
      </c>
      <c r="D909" s="10" t="s">
        <v>1867</v>
      </c>
      <c r="E909" s="10" t="s">
        <v>65</v>
      </c>
      <c r="F909" s="10" t="s">
        <v>37</v>
      </c>
      <c r="G909" s="10">
        <v>31</v>
      </c>
      <c r="H909" s="10" t="s">
        <v>56</v>
      </c>
      <c r="I909" s="10" t="s">
        <v>46</v>
      </c>
      <c r="J909" s="10" t="s">
        <v>22</v>
      </c>
      <c r="K909" s="10" t="s">
        <v>40</v>
      </c>
      <c r="L909" s="10" t="s">
        <v>80</v>
      </c>
      <c r="M909" s="10" t="s">
        <v>33</v>
      </c>
      <c r="N909" s="10">
        <v>1</v>
      </c>
      <c r="O909" s="10">
        <v>34486</v>
      </c>
      <c r="P909" s="10">
        <v>34486</v>
      </c>
      <c r="Q909" s="12">
        <v>9200.35</v>
      </c>
      <c r="R909" s="17">
        <f t="shared" si="14"/>
        <v>0.2667850722032129</v>
      </c>
    </row>
    <row r="910" spans="2:18" x14ac:dyDescent="0.3">
      <c r="B910" s="20" t="s">
        <v>1868</v>
      </c>
      <c r="C910" s="8">
        <v>45478</v>
      </c>
      <c r="D910" s="7" t="s">
        <v>1869</v>
      </c>
      <c r="E910" s="7" t="s">
        <v>59</v>
      </c>
      <c r="F910" s="7" t="s">
        <v>37</v>
      </c>
      <c r="G910" s="7">
        <v>51</v>
      </c>
      <c r="H910" s="7" t="s">
        <v>45</v>
      </c>
      <c r="I910" s="7" t="s">
        <v>21</v>
      </c>
      <c r="J910" s="7" t="s">
        <v>50</v>
      </c>
      <c r="K910" s="7" t="s">
        <v>40</v>
      </c>
      <c r="L910" s="7" t="s">
        <v>47</v>
      </c>
      <c r="M910" s="7" t="s">
        <v>41</v>
      </c>
      <c r="N910" s="7">
        <v>5</v>
      </c>
      <c r="O910" s="7">
        <v>657</v>
      </c>
      <c r="P910" s="7">
        <v>2956.5</v>
      </c>
      <c r="Q910" s="9">
        <v>550.26</v>
      </c>
      <c r="R910" s="17">
        <f t="shared" si="14"/>
        <v>0.18611872146118721</v>
      </c>
    </row>
    <row r="911" spans="2:18" x14ac:dyDescent="0.3">
      <c r="B911" s="21" t="s">
        <v>1870</v>
      </c>
      <c r="C911" s="11">
        <v>45421</v>
      </c>
      <c r="D911" s="10" t="s">
        <v>1871</v>
      </c>
      <c r="E911" s="10" t="s">
        <v>93</v>
      </c>
      <c r="F911" s="10" t="s">
        <v>19</v>
      </c>
      <c r="G911" s="10">
        <v>33</v>
      </c>
      <c r="H911" s="10" t="s">
        <v>66</v>
      </c>
      <c r="I911" s="10" t="s">
        <v>21</v>
      </c>
      <c r="J911" s="10" t="s">
        <v>30</v>
      </c>
      <c r="K911" s="10" t="s">
        <v>31</v>
      </c>
      <c r="L911" s="10" t="s">
        <v>47</v>
      </c>
      <c r="M911" s="10" t="s">
        <v>33</v>
      </c>
      <c r="N911" s="10">
        <v>3</v>
      </c>
      <c r="O911" s="10">
        <v>35959</v>
      </c>
      <c r="P911" s="10">
        <v>97089.3</v>
      </c>
      <c r="Q911" s="12">
        <v>37707.040000000001</v>
      </c>
      <c r="R911" s="17">
        <f t="shared" si="14"/>
        <v>0.3883748260621922</v>
      </c>
    </row>
    <row r="912" spans="2:18" x14ac:dyDescent="0.3">
      <c r="B912" s="20" t="s">
        <v>1872</v>
      </c>
      <c r="C912" s="8">
        <v>45318</v>
      </c>
      <c r="D912" s="7" t="s">
        <v>1873</v>
      </c>
      <c r="E912" s="7" t="s">
        <v>28</v>
      </c>
      <c r="F912" s="7" t="s">
        <v>37</v>
      </c>
      <c r="G912" s="7">
        <v>58</v>
      </c>
      <c r="H912" s="7" t="s">
        <v>20</v>
      </c>
      <c r="I912" s="7" t="s">
        <v>21</v>
      </c>
      <c r="J912" s="7" t="s">
        <v>22</v>
      </c>
      <c r="K912" s="7" t="s">
        <v>40</v>
      </c>
      <c r="L912" s="7" t="s">
        <v>47</v>
      </c>
      <c r="M912" s="7" t="s">
        <v>33</v>
      </c>
      <c r="N912" s="7">
        <v>1</v>
      </c>
      <c r="O912" s="7">
        <v>40598</v>
      </c>
      <c r="P912" s="7">
        <v>36538.199999999997</v>
      </c>
      <c r="Q912" s="9">
        <v>14023.08</v>
      </c>
      <c r="R912" s="17">
        <f t="shared" si="14"/>
        <v>0.38379230503965717</v>
      </c>
    </row>
    <row r="913" spans="2:18" x14ac:dyDescent="0.3">
      <c r="B913" s="21" t="s">
        <v>1874</v>
      </c>
      <c r="C913" s="11">
        <v>45358</v>
      </c>
      <c r="D913" s="10" t="s">
        <v>1875</v>
      </c>
      <c r="E913" s="10" t="s">
        <v>44</v>
      </c>
      <c r="F913" s="10" t="s">
        <v>37</v>
      </c>
      <c r="G913" s="10">
        <v>40</v>
      </c>
      <c r="H913" s="10" t="s">
        <v>29</v>
      </c>
      <c r="I913" s="10" t="s">
        <v>39</v>
      </c>
      <c r="J913" s="10" t="s">
        <v>30</v>
      </c>
      <c r="K913" s="10" t="s">
        <v>69</v>
      </c>
      <c r="L913" s="10" t="s">
        <v>47</v>
      </c>
      <c r="M913" s="10" t="s">
        <v>52</v>
      </c>
      <c r="N913" s="10">
        <v>4</v>
      </c>
      <c r="O913" s="10">
        <v>26980</v>
      </c>
      <c r="P913" s="10">
        <v>107920</v>
      </c>
      <c r="Q913" s="12">
        <v>23058.49</v>
      </c>
      <c r="R913" s="17">
        <f t="shared" si="14"/>
        <v>0.21366280578206079</v>
      </c>
    </row>
    <row r="914" spans="2:18" x14ac:dyDescent="0.3">
      <c r="B914" s="20" t="s">
        <v>1876</v>
      </c>
      <c r="C914" s="8">
        <v>45656</v>
      </c>
      <c r="D914" s="7" t="s">
        <v>1877</v>
      </c>
      <c r="E914" s="7" t="s">
        <v>65</v>
      </c>
      <c r="F914" s="7" t="s">
        <v>37</v>
      </c>
      <c r="G914" s="7">
        <v>18</v>
      </c>
      <c r="H914" s="7" t="s">
        <v>56</v>
      </c>
      <c r="I914" s="7" t="s">
        <v>46</v>
      </c>
      <c r="J914" s="7" t="s">
        <v>30</v>
      </c>
      <c r="K914" s="7" t="s">
        <v>40</v>
      </c>
      <c r="L914" s="7" t="s">
        <v>24</v>
      </c>
      <c r="M914" s="7" t="s">
        <v>33</v>
      </c>
      <c r="N914" s="7">
        <v>3</v>
      </c>
      <c r="O914" s="7">
        <v>33052</v>
      </c>
      <c r="P914" s="7">
        <v>89240.4</v>
      </c>
      <c r="Q914" s="9">
        <v>30708.18</v>
      </c>
      <c r="R914" s="17">
        <f t="shared" si="14"/>
        <v>0.34410625680745494</v>
      </c>
    </row>
    <row r="915" spans="2:18" x14ac:dyDescent="0.3">
      <c r="B915" s="21" t="s">
        <v>1878</v>
      </c>
      <c r="C915" s="11">
        <v>45606</v>
      </c>
      <c r="D915" s="10" t="s">
        <v>1879</v>
      </c>
      <c r="E915" s="10" t="s">
        <v>36</v>
      </c>
      <c r="F915" s="10" t="s">
        <v>37</v>
      </c>
      <c r="G915" s="10">
        <v>25</v>
      </c>
      <c r="H915" s="10" t="s">
        <v>56</v>
      </c>
      <c r="I915" s="10" t="s">
        <v>46</v>
      </c>
      <c r="J915" s="10" t="s">
        <v>50</v>
      </c>
      <c r="K915" s="10" t="s">
        <v>23</v>
      </c>
      <c r="L915" s="10" t="s">
        <v>32</v>
      </c>
      <c r="M915" s="10" t="s">
        <v>41</v>
      </c>
      <c r="N915" s="10">
        <v>1</v>
      </c>
      <c r="O915" s="10">
        <v>20449</v>
      </c>
      <c r="P915" s="10">
        <v>16359.2</v>
      </c>
      <c r="Q915" s="12">
        <v>3963.89</v>
      </c>
      <c r="R915" s="17">
        <f t="shared" si="14"/>
        <v>0.24230341336984693</v>
      </c>
    </row>
    <row r="916" spans="2:18" x14ac:dyDescent="0.3">
      <c r="B916" s="20" t="s">
        <v>1880</v>
      </c>
      <c r="C916" s="8">
        <v>45359</v>
      </c>
      <c r="D916" s="7" t="s">
        <v>1881</v>
      </c>
      <c r="E916" s="7" t="s">
        <v>28</v>
      </c>
      <c r="F916" s="7" t="s">
        <v>19</v>
      </c>
      <c r="G916" s="7">
        <v>58</v>
      </c>
      <c r="H916" s="7" t="s">
        <v>20</v>
      </c>
      <c r="I916" s="7" t="s">
        <v>39</v>
      </c>
      <c r="J916" s="7" t="s">
        <v>22</v>
      </c>
      <c r="K916" s="7" t="s">
        <v>31</v>
      </c>
      <c r="L916" s="7" t="s">
        <v>24</v>
      </c>
      <c r="M916" s="7" t="s">
        <v>41</v>
      </c>
      <c r="N916" s="7">
        <v>2</v>
      </c>
      <c r="O916" s="7">
        <v>22031</v>
      </c>
      <c r="P916" s="7">
        <v>37452.699999999997</v>
      </c>
      <c r="Q916" s="9">
        <v>7293.53</v>
      </c>
      <c r="R916" s="17">
        <f t="shared" si="14"/>
        <v>0.19473976509036733</v>
      </c>
    </row>
    <row r="917" spans="2:18" x14ac:dyDescent="0.3">
      <c r="B917" s="21" t="s">
        <v>1882</v>
      </c>
      <c r="C917" s="11">
        <v>45349</v>
      </c>
      <c r="D917" s="10" t="s">
        <v>1883</v>
      </c>
      <c r="E917" s="10" t="s">
        <v>65</v>
      </c>
      <c r="F917" s="10" t="s">
        <v>37</v>
      </c>
      <c r="G917" s="10">
        <v>38</v>
      </c>
      <c r="H917" s="10" t="s">
        <v>38</v>
      </c>
      <c r="I917" s="10" t="s">
        <v>39</v>
      </c>
      <c r="J917" s="10" t="s">
        <v>50</v>
      </c>
      <c r="K917" s="10" t="s">
        <v>23</v>
      </c>
      <c r="L917" s="10" t="s">
        <v>32</v>
      </c>
      <c r="M917" s="10" t="s">
        <v>41</v>
      </c>
      <c r="N917" s="10">
        <v>2</v>
      </c>
      <c r="O917" s="10">
        <v>17555</v>
      </c>
      <c r="P917" s="10">
        <v>35110</v>
      </c>
      <c r="Q917" s="12">
        <v>9463.81</v>
      </c>
      <c r="R917" s="17">
        <f t="shared" si="14"/>
        <v>0.26954742238678436</v>
      </c>
    </row>
    <row r="918" spans="2:18" x14ac:dyDescent="0.3">
      <c r="B918" s="20" t="s">
        <v>1884</v>
      </c>
      <c r="C918" s="8">
        <v>45383</v>
      </c>
      <c r="D918" s="7" t="s">
        <v>1885</v>
      </c>
      <c r="E918" s="7" t="s">
        <v>18</v>
      </c>
      <c r="F918" s="7" t="s">
        <v>37</v>
      </c>
      <c r="G918" s="7">
        <v>55</v>
      </c>
      <c r="H918" s="7" t="s">
        <v>20</v>
      </c>
      <c r="I918" s="7" t="s">
        <v>21</v>
      </c>
      <c r="J918" s="7" t="s">
        <v>50</v>
      </c>
      <c r="K918" s="7" t="s">
        <v>31</v>
      </c>
      <c r="L918" s="7" t="s">
        <v>24</v>
      </c>
      <c r="M918" s="7" t="s">
        <v>25</v>
      </c>
      <c r="N918" s="7">
        <v>2</v>
      </c>
      <c r="O918" s="7">
        <v>9808</v>
      </c>
      <c r="P918" s="7">
        <v>18635.2</v>
      </c>
      <c r="Q918" s="9">
        <v>6008.56</v>
      </c>
      <c r="R918" s="17">
        <f t="shared" si="14"/>
        <v>0.32243066884176186</v>
      </c>
    </row>
    <row r="919" spans="2:18" x14ac:dyDescent="0.3">
      <c r="B919" s="21" t="s">
        <v>1886</v>
      </c>
      <c r="C919" s="11">
        <v>45406</v>
      </c>
      <c r="D919" s="10" t="s">
        <v>1887</v>
      </c>
      <c r="E919" s="10" t="s">
        <v>44</v>
      </c>
      <c r="F919" s="10" t="s">
        <v>19</v>
      </c>
      <c r="G919" s="10">
        <v>49</v>
      </c>
      <c r="H919" s="10" t="s">
        <v>29</v>
      </c>
      <c r="I919" s="10" t="s">
        <v>21</v>
      </c>
      <c r="J919" s="10" t="s">
        <v>22</v>
      </c>
      <c r="K919" s="10" t="s">
        <v>40</v>
      </c>
      <c r="L919" s="10" t="s">
        <v>24</v>
      </c>
      <c r="M919" s="10" t="s">
        <v>41</v>
      </c>
      <c r="N919" s="10">
        <v>1</v>
      </c>
      <c r="O919" s="10">
        <v>22795</v>
      </c>
      <c r="P919" s="10">
        <v>22795</v>
      </c>
      <c r="Q919" s="12">
        <v>7291.13</v>
      </c>
      <c r="R919" s="17">
        <f t="shared" si="14"/>
        <v>0.3198565474884843</v>
      </c>
    </row>
    <row r="920" spans="2:18" x14ac:dyDescent="0.3">
      <c r="B920" s="20" t="s">
        <v>1888</v>
      </c>
      <c r="C920" s="8">
        <v>45459</v>
      </c>
      <c r="D920" s="7" t="s">
        <v>1889</v>
      </c>
      <c r="E920" s="7" t="s">
        <v>55</v>
      </c>
      <c r="F920" s="7" t="s">
        <v>37</v>
      </c>
      <c r="G920" s="7">
        <v>58</v>
      </c>
      <c r="H920" s="7" t="s">
        <v>45</v>
      </c>
      <c r="I920" s="7" t="s">
        <v>46</v>
      </c>
      <c r="J920" s="7" t="s">
        <v>22</v>
      </c>
      <c r="K920" s="7" t="s">
        <v>31</v>
      </c>
      <c r="L920" s="7" t="s">
        <v>24</v>
      </c>
      <c r="M920" s="7" t="s">
        <v>33</v>
      </c>
      <c r="N920" s="7">
        <v>4</v>
      </c>
      <c r="O920" s="7">
        <v>45536</v>
      </c>
      <c r="P920" s="7">
        <v>145715.20000000001</v>
      </c>
      <c r="Q920" s="9">
        <v>42352.63</v>
      </c>
      <c r="R920" s="17">
        <f t="shared" si="14"/>
        <v>0.29065348021345744</v>
      </c>
    </row>
    <row r="921" spans="2:18" x14ac:dyDescent="0.3">
      <c r="B921" s="21" t="s">
        <v>1890</v>
      </c>
      <c r="C921" s="11">
        <v>45538</v>
      </c>
      <c r="D921" s="10" t="s">
        <v>1891</v>
      </c>
      <c r="E921" s="10" t="s">
        <v>28</v>
      </c>
      <c r="F921" s="10" t="s">
        <v>19</v>
      </c>
      <c r="G921" s="10">
        <v>59</v>
      </c>
      <c r="H921" s="10" t="s">
        <v>66</v>
      </c>
      <c r="I921" s="10" t="s">
        <v>21</v>
      </c>
      <c r="J921" s="10" t="s">
        <v>22</v>
      </c>
      <c r="K921" s="10" t="s">
        <v>40</v>
      </c>
      <c r="L921" s="10" t="s">
        <v>32</v>
      </c>
      <c r="M921" s="10" t="s">
        <v>25</v>
      </c>
      <c r="N921" s="10">
        <v>5</v>
      </c>
      <c r="O921" s="10">
        <v>45714</v>
      </c>
      <c r="P921" s="10">
        <v>217141.5</v>
      </c>
      <c r="Q921" s="12">
        <v>58247.13</v>
      </c>
      <c r="R921" s="17">
        <f t="shared" si="14"/>
        <v>0.26824503837359509</v>
      </c>
    </row>
    <row r="922" spans="2:18" x14ac:dyDescent="0.3">
      <c r="B922" s="20" t="s">
        <v>1892</v>
      </c>
      <c r="C922" s="8">
        <v>45374</v>
      </c>
      <c r="D922" s="7" t="s">
        <v>1893</v>
      </c>
      <c r="E922" s="7" t="s">
        <v>44</v>
      </c>
      <c r="F922" s="7" t="s">
        <v>37</v>
      </c>
      <c r="G922" s="7">
        <v>34</v>
      </c>
      <c r="H922" s="7" t="s">
        <v>66</v>
      </c>
      <c r="I922" s="7" t="s">
        <v>39</v>
      </c>
      <c r="J922" s="7" t="s">
        <v>30</v>
      </c>
      <c r="K922" s="7" t="s">
        <v>69</v>
      </c>
      <c r="L922" s="7" t="s">
        <v>47</v>
      </c>
      <c r="M922" s="7" t="s">
        <v>25</v>
      </c>
      <c r="N922" s="7">
        <v>5</v>
      </c>
      <c r="O922" s="7">
        <v>9417</v>
      </c>
      <c r="P922" s="7">
        <v>47085</v>
      </c>
      <c r="Q922" s="9">
        <v>8542.19</v>
      </c>
      <c r="R922" s="17">
        <f t="shared" si="14"/>
        <v>0.18142062227885739</v>
      </c>
    </row>
    <row r="923" spans="2:18" x14ac:dyDescent="0.3">
      <c r="B923" s="21" t="s">
        <v>1894</v>
      </c>
      <c r="C923" s="11">
        <v>45563</v>
      </c>
      <c r="D923" s="10" t="s">
        <v>1895</v>
      </c>
      <c r="E923" s="10" t="s">
        <v>36</v>
      </c>
      <c r="F923" s="10" t="s">
        <v>19</v>
      </c>
      <c r="G923" s="10">
        <v>44</v>
      </c>
      <c r="H923" s="10" t="s">
        <v>66</v>
      </c>
      <c r="I923" s="10" t="s">
        <v>39</v>
      </c>
      <c r="J923" s="10" t="s">
        <v>30</v>
      </c>
      <c r="K923" s="10" t="s">
        <v>31</v>
      </c>
      <c r="L923" s="10" t="s">
        <v>24</v>
      </c>
      <c r="M923" s="10" t="s">
        <v>25</v>
      </c>
      <c r="N923" s="10">
        <v>4</v>
      </c>
      <c r="O923" s="10">
        <v>36947</v>
      </c>
      <c r="P923" s="10">
        <v>133009.20000000001</v>
      </c>
      <c r="Q923" s="12">
        <v>43680.86</v>
      </c>
      <c r="R923" s="17">
        <f t="shared" si="14"/>
        <v>0.32840480207384148</v>
      </c>
    </row>
    <row r="924" spans="2:18" x14ac:dyDescent="0.3">
      <c r="B924" s="20" t="s">
        <v>1896</v>
      </c>
      <c r="C924" s="8">
        <v>45428</v>
      </c>
      <c r="D924" s="7" t="s">
        <v>1897</v>
      </c>
      <c r="E924" s="7" t="s">
        <v>36</v>
      </c>
      <c r="F924" s="7" t="s">
        <v>37</v>
      </c>
      <c r="G924" s="7">
        <v>25</v>
      </c>
      <c r="H924" s="7" t="s">
        <v>20</v>
      </c>
      <c r="I924" s="7" t="s">
        <v>21</v>
      </c>
      <c r="J924" s="7" t="s">
        <v>30</v>
      </c>
      <c r="K924" s="7" t="s">
        <v>51</v>
      </c>
      <c r="L924" s="7" t="s">
        <v>32</v>
      </c>
      <c r="M924" s="7" t="s">
        <v>52</v>
      </c>
      <c r="N924" s="7">
        <v>3</v>
      </c>
      <c r="O924" s="7">
        <v>1077</v>
      </c>
      <c r="P924" s="7">
        <v>2907.9</v>
      </c>
      <c r="Q924" s="9">
        <v>621.42999999999995</v>
      </c>
      <c r="R924" s="17">
        <f t="shared" si="14"/>
        <v>0.21370404759448397</v>
      </c>
    </row>
    <row r="925" spans="2:18" x14ac:dyDescent="0.3">
      <c r="B925" s="21" t="s">
        <v>1898</v>
      </c>
      <c r="C925" s="11">
        <v>45463</v>
      </c>
      <c r="D925" s="10" t="s">
        <v>1899</v>
      </c>
      <c r="E925" s="10" t="s">
        <v>28</v>
      </c>
      <c r="F925" s="10" t="s">
        <v>37</v>
      </c>
      <c r="G925" s="10">
        <v>35</v>
      </c>
      <c r="H925" s="10" t="s">
        <v>56</v>
      </c>
      <c r="I925" s="10" t="s">
        <v>21</v>
      </c>
      <c r="J925" s="10" t="s">
        <v>22</v>
      </c>
      <c r="K925" s="10" t="s">
        <v>31</v>
      </c>
      <c r="L925" s="10" t="s">
        <v>80</v>
      </c>
      <c r="M925" s="10" t="s">
        <v>41</v>
      </c>
      <c r="N925" s="10">
        <v>5</v>
      </c>
      <c r="O925" s="10">
        <v>34998</v>
      </c>
      <c r="P925" s="10">
        <v>157491</v>
      </c>
      <c r="Q925" s="12">
        <v>41794.25</v>
      </c>
      <c r="R925" s="17">
        <f t="shared" si="14"/>
        <v>0.26537548177356168</v>
      </c>
    </row>
    <row r="926" spans="2:18" x14ac:dyDescent="0.3">
      <c r="B926" s="20" t="s">
        <v>1900</v>
      </c>
      <c r="C926" s="8">
        <v>45392</v>
      </c>
      <c r="D926" s="7" t="s">
        <v>1901</v>
      </c>
      <c r="E926" s="7" t="s">
        <v>55</v>
      </c>
      <c r="F926" s="7" t="s">
        <v>37</v>
      </c>
      <c r="G926" s="7">
        <v>60</v>
      </c>
      <c r="H926" s="7" t="s">
        <v>56</v>
      </c>
      <c r="I926" s="7" t="s">
        <v>21</v>
      </c>
      <c r="J926" s="7" t="s">
        <v>22</v>
      </c>
      <c r="K926" s="7" t="s">
        <v>23</v>
      </c>
      <c r="L926" s="7" t="s">
        <v>32</v>
      </c>
      <c r="M926" s="7" t="s">
        <v>25</v>
      </c>
      <c r="N926" s="7">
        <v>3</v>
      </c>
      <c r="O926" s="7">
        <v>34655</v>
      </c>
      <c r="P926" s="7">
        <v>83172</v>
      </c>
      <c r="Q926" s="9">
        <v>23795.64</v>
      </c>
      <c r="R926" s="17">
        <f t="shared" si="14"/>
        <v>0.28610157264464003</v>
      </c>
    </row>
    <row r="927" spans="2:18" x14ac:dyDescent="0.3">
      <c r="B927" s="21" t="s">
        <v>1902</v>
      </c>
      <c r="C927" s="11">
        <v>45356</v>
      </c>
      <c r="D927" s="10" t="s">
        <v>1903</v>
      </c>
      <c r="E927" s="10" t="s">
        <v>36</v>
      </c>
      <c r="F927" s="10" t="s">
        <v>37</v>
      </c>
      <c r="G927" s="10">
        <v>48</v>
      </c>
      <c r="H927" s="10" t="s">
        <v>66</v>
      </c>
      <c r="I927" s="10" t="s">
        <v>46</v>
      </c>
      <c r="J927" s="10" t="s">
        <v>50</v>
      </c>
      <c r="K927" s="10" t="s">
        <v>51</v>
      </c>
      <c r="L927" s="10" t="s">
        <v>80</v>
      </c>
      <c r="M927" s="10" t="s">
        <v>41</v>
      </c>
      <c r="N927" s="10">
        <v>1</v>
      </c>
      <c r="O927" s="10">
        <v>22943</v>
      </c>
      <c r="P927" s="10">
        <v>19501.55</v>
      </c>
      <c r="Q927" s="12">
        <v>5823.13</v>
      </c>
      <c r="R927" s="17">
        <f t="shared" si="14"/>
        <v>0.2985983165440696</v>
      </c>
    </row>
    <row r="928" spans="2:18" x14ac:dyDescent="0.3">
      <c r="B928" s="20" t="s">
        <v>1904</v>
      </c>
      <c r="C928" s="8">
        <v>45559</v>
      </c>
      <c r="D928" s="7" t="s">
        <v>1905</v>
      </c>
      <c r="E928" s="7" t="s">
        <v>55</v>
      </c>
      <c r="F928" s="7" t="s">
        <v>37</v>
      </c>
      <c r="G928" s="7">
        <v>57</v>
      </c>
      <c r="H928" s="7" t="s">
        <v>38</v>
      </c>
      <c r="I928" s="7" t="s">
        <v>21</v>
      </c>
      <c r="J928" s="7" t="s">
        <v>50</v>
      </c>
      <c r="K928" s="7" t="s">
        <v>69</v>
      </c>
      <c r="L928" s="7" t="s">
        <v>24</v>
      </c>
      <c r="M928" s="7" t="s">
        <v>33</v>
      </c>
      <c r="N928" s="7">
        <v>1</v>
      </c>
      <c r="O928" s="7">
        <v>46239</v>
      </c>
      <c r="P928" s="7">
        <v>39303.15</v>
      </c>
      <c r="Q928" s="9">
        <v>11708.25</v>
      </c>
      <c r="R928" s="17">
        <f t="shared" si="14"/>
        <v>0.29789597017032987</v>
      </c>
    </row>
    <row r="929" spans="2:18" x14ac:dyDescent="0.3">
      <c r="B929" s="21" t="s">
        <v>1906</v>
      </c>
      <c r="C929" s="11">
        <v>45535</v>
      </c>
      <c r="D929" s="10" t="s">
        <v>1907</v>
      </c>
      <c r="E929" s="10" t="s">
        <v>59</v>
      </c>
      <c r="F929" s="10" t="s">
        <v>37</v>
      </c>
      <c r="G929" s="10">
        <v>51</v>
      </c>
      <c r="H929" s="10" t="s">
        <v>38</v>
      </c>
      <c r="I929" s="10" t="s">
        <v>21</v>
      </c>
      <c r="J929" s="10" t="s">
        <v>50</v>
      </c>
      <c r="K929" s="10" t="s">
        <v>31</v>
      </c>
      <c r="L929" s="10" t="s">
        <v>32</v>
      </c>
      <c r="M929" s="10" t="s">
        <v>25</v>
      </c>
      <c r="N929" s="10">
        <v>2</v>
      </c>
      <c r="O929" s="10">
        <v>44488</v>
      </c>
      <c r="P929" s="10">
        <v>84527.2</v>
      </c>
      <c r="Q929" s="12">
        <v>26150.79</v>
      </c>
      <c r="R929" s="17">
        <f t="shared" si="14"/>
        <v>0.30937721822088038</v>
      </c>
    </row>
    <row r="930" spans="2:18" x14ac:dyDescent="0.3">
      <c r="B930" s="20" t="s">
        <v>1908</v>
      </c>
      <c r="C930" s="8">
        <v>45407</v>
      </c>
      <c r="D930" s="7" t="s">
        <v>1909</v>
      </c>
      <c r="E930" s="7" t="s">
        <v>18</v>
      </c>
      <c r="F930" s="7" t="s">
        <v>19</v>
      </c>
      <c r="G930" s="7">
        <v>59</v>
      </c>
      <c r="H930" s="7" t="s">
        <v>29</v>
      </c>
      <c r="I930" s="7" t="s">
        <v>21</v>
      </c>
      <c r="J930" s="7" t="s">
        <v>50</v>
      </c>
      <c r="K930" s="7" t="s">
        <v>40</v>
      </c>
      <c r="L930" s="7" t="s">
        <v>60</v>
      </c>
      <c r="M930" s="7" t="s">
        <v>52</v>
      </c>
      <c r="N930" s="7">
        <v>1</v>
      </c>
      <c r="O930" s="7">
        <v>20361</v>
      </c>
      <c r="P930" s="7">
        <v>16288.8</v>
      </c>
      <c r="Q930" s="9">
        <v>3993.15</v>
      </c>
      <c r="R930" s="17">
        <f t="shared" si="14"/>
        <v>0.24514697215264478</v>
      </c>
    </row>
    <row r="931" spans="2:18" x14ac:dyDescent="0.3">
      <c r="B931" s="21" t="s">
        <v>1910</v>
      </c>
      <c r="C931" s="11">
        <v>45623</v>
      </c>
      <c r="D931" s="10" t="s">
        <v>1911</v>
      </c>
      <c r="E931" s="10" t="s">
        <v>93</v>
      </c>
      <c r="F931" s="10" t="s">
        <v>37</v>
      </c>
      <c r="G931" s="10">
        <v>56</v>
      </c>
      <c r="H931" s="10" t="s">
        <v>66</v>
      </c>
      <c r="I931" s="10" t="s">
        <v>46</v>
      </c>
      <c r="J931" s="10" t="s">
        <v>50</v>
      </c>
      <c r="K931" s="10" t="s">
        <v>40</v>
      </c>
      <c r="L931" s="10" t="s">
        <v>80</v>
      </c>
      <c r="M931" s="10" t="s">
        <v>25</v>
      </c>
      <c r="N931" s="10">
        <v>4</v>
      </c>
      <c r="O931" s="10">
        <v>36242</v>
      </c>
      <c r="P931" s="10">
        <v>130471.2</v>
      </c>
      <c r="Q931" s="12">
        <v>50235.95</v>
      </c>
      <c r="R931" s="17">
        <f t="shared" si="14"/>
        <v>0.38503478162230437</v>
      </c>
    </row>
    <row r="932" spans="2:18" x14ac:dyDescent="0.3">
      <c r="B932" s="20" t="s">
        <v>1912</v>
      </c>
      <c r="C932" s="8">
        <v>45508</v>
      </c>
      <c r="D932" s="7" t="s">
        <v>1913</v>
      </c>
      <c r="E932" s="7" t="s">
        <v>93</v>
      </c>
      <c r="F932" s="7" t="s">
        <v>19</v>
      </c>
      <c r="G932" s="7">
        <v>43</v>
      </c>
      <c r="H932" s="7" t="s">
        <v>66</v>
      </c>
      <c r="I932" s="7" t="s">
        <v>21</v>
      </c>
      <c r="J932" s="7" t="s">
        <v>22</v>
      </c>
      <c r="K932" s="7" t="s">
        <v>69</v>
      </c>
      <c r="L932" s="7" t="s">
        <v>24</v>
      </c>
      <c r="M932" s="7" t="s">
        <v>33</v>
      </c>
      <c r="N932" s="7">
        <v>4</v>
      </c>
      <c r="O932" s="7">
        <v>34263</v>
      </c>
      <c r="P932" s="7">
        <v>116494.2</v>
      </c>
      <c r="Q932" s="9">
        <v>28750.57</v>
      </c>
      <c r="R932" s="17">
        <f t="shared" si="14"/>
        <v>0.24679829553746024</v>
      </c>
    </row>
    <row r="933" spans="2:18" x14ac:dyDescent="0.3">
      <c r="B933" s="21" t="s">
        <v>1914</v>
      </c>
      <c r="C933" s="11">
        <v>45596</v>
      </c>
      <c r="D933" s="10" t="s">
        <v>1915</v>
      </c>
      <c r="E933" s="10" t="s">
        <v>93</v>
      </c>
      <c r="F933" s="10" t="s">
        <v>19</v>
      </c>
      <c r="G933" s="10">
        <v>59</v>
      </c>
      <c r="H933" s="10" t="s">
        <v>20</v>
      </c>
      <c r="I933" s="10" t="s">
        <v>21</v>
      </c>
      <c r="J933" s="10" t="s">
        <v>22</v>
      </c>
      <c r="K933" s="10" t="s">
        <v>31</v>
      </c>
      <c r="L933" s="10" t="s">
        <v>32</v>
      </c>
      <c r="M933" s="10" t="s">
        <v>52</v>
      </c>
      <c r="N933" s="10">
        <v>4</v>
      </c>
      <c r="O933" s="10">
        <v>40646</v>
      </c>
      <c r="P933" s="10">
        <v>146325.6</v>
      </c>
      <c r="Q933" s="12">
        <v>42474.080000000002</v>
      </c>
      <c r="R933" s="17">
        <f t="shared" si="14"/>
        <v>0.29027101204437228</v>
      </c>
    </row>
    <row r="934" spans="2:18" x14ac:dyDescent="0.3">
      <c r="B934" s="20" t="s">
        <v>1916</v>
      </c>
      <c r="C934" s="8">
        <v>45597</v>
      </c>
      <c r="D934" s="7" t="s">
        <v>1917</v>
      </c>
      <c r="E934" s="7" t="s">
        <v>44</v>
      </c>
      <c r="F934" s="7" t="s">
        <v>37</v>
      </c>
      <c r="G934" s="7">
        <v>47</v>
      </c>
      <c r="H934" s="7" t="s">
        <v>56</v>
      </c>
      <c r="I934" s="7" t="s">
        <v>46</v>
      </c>
      <c r="J934" s="7" t="s">
        <v>50</v>
      </c>
      <c r="K934" s="7" t="s">
        <v>40</v>
      </c>
      <c r="L934" s="7" t="s">
        <v>32</v>
      </c>
      <c r="M934" s="7" t="s">
        <v>52</v>
      </c>
      <c r="N934" s="7">
        <v>4</v>
      </c>
      <c r="O934" s="7">
        <v>32837</v>
      </c>
      <c r="P934" s="7">
        <v>131348</v>
      </c>
      <c r="Q934" s="9">
        <v>24552.66</v>
      </c>
      <c r="R934" s="17">
        <f t="shared" si="14"/>
        <v>0.18692831257423029</v>
      </c>
    </row>
    <row r="935" spans="2:18" x14ac:dyDescent="0.3">
      <c r="B935" s="21" t="s">
        <v>1918</v>
      </c>
      <c r="C935" s="11">
        <v>45343</v>
      </c>
      <c r="D935" s="10" t="s">
        <v>1919</v>
      </c>
      <c r="E935" s="10" t="s">
        <v>36</v>
      </c>
      <c r="F935" s="10" t="s">
        <v>37</v>
      </c>
      <c r="G935" s="10">
        <v>38</v>
      </c>
      <c r="H935" s="10" t="s">
        <v>56</v>
      </c>
      <c r="I935" s="10" t="s">
        <v>39</v>
      </c>
      <c r="J935" s="10" t="s">
        <v>50</v>
      </c>
      <c r="K935" s="10" t="s">
        <v>51</v>
      </c>
      <c r="L935" s="10" t="s">
        <v>60</v>
      </c>
      <c r="M935" s="10" t="s">
        <v>52</v>
      </c>
      <c r="N935" s="10">
        <v>5</v>
      </c>
      <c r="O935" s="10">
        <v>33745</v>
      </c>
      <c r="P935" s="10">
        <v>160288.75</v>
      </c>
      <c r="Q935" s="12">
        <v>30068.17</v>
      </c>
      <c r="R935" s="17">
        <f t="shared" si="14"/>
        <v>0.18758752563732636</v>
      </c>
    </row>
    <row r="936" spans="2:18" x14ac:dyDescent="0.3">
      <c r="B936" s="20" t="s">
        <v>1920</v>
      </c>
      <c r="C936" s="8">
        <v>45635</v>
      </c>
      <c r="D936" s="7" t="s">
        <v>1921</v>
      </c>
      <c r="E936" s="7" t="s">
        <v>93</v>
      </c>
      <c r="F936" s="7" t="s">
        <v>37</v>
      </c>
      <c r="G936" s="7">
        <v>49</v>
      </c>
      <c r="H936" s="7" t="s">
        <v>38</v>
      </c>
      <c r="I936" s="7" t="s">
        <v>46</v>
      </c>
      <c r="J936" s="7" t="s">
        <v>30</v>
      </c>
      <c r="K936" s="7" t="s">
        <v>51</v>
      </c>
      <c r="L936" s="7" t="s">
        <v>60</v>
      </c>
      <c r="M936" s="7" t="s">
        <v>52</v>
      </c>
      <c r="N936" s="7">
        <v>5</v>
      </c>
      <c r="O936" s="7">
        <v>43602</v>
      </c>
      <c r="P936" s="7">
        <v>174408</v>
      </c>
      <c r="Q936" s="9">
        <v>47605.86</v>
      </c>
      <c r="R936" s="17">
        <f t="shared" si="14"/>
        <v>0.27295685977707446</v>
      </c>
    </row>
    <row r="937" spans="2:18" x14ac:dyDescent="0.3">
      <c r="B937" s="21" t="s">
        <v>1922</v>
      </c>
      <c r="C937" s="11">
        <v>45456</v>
      </c>
      <c r="D937" s="10" t="s">
        <v>1923</v>
      </c>
      <c r="E937" s="10" t="s">
        <v>36</v>
      </c>
      <c r="F937" s="10" t="s">
        <v>37</v>
      </c>
      <c r="G937" s="10">
        <v>22</v>
      </c>
      <c r="H937" s="10" t="s">
        <v>29</v>
      </c>
      <c r="I937" s="10" t="s">
        <v>21</v>
      </c>
      <c r="J937" s="10" t="s">
        <v>30</v>
      </c>
      <c r="K937" s="10" t="s">
        <v>69</v>
      </c>
      <c r="L937" s="10" t="s">
        <v>47</v>
      </c>
      <c r="M937" s="10" t="s">
        <v>52</v>
      </c>
      <c r="N937" s="10">
        <v>3</v>
      </c>
      <c r="O937" s="10">
        <v>47300</v>
      </c>
      <c r="P937" s="10">
        <v>120615</v>
      </c>
      <c r="Q937" s="12">
        <v>22062.42</v>
      </c>
      <c r="R937" s="17">
        <f t="shared" si="14"/>
        <v>0.18291605521701279</v>
      </c>
    </row>
    <row r="938" spans="2:18" x14ac:dyDescent="0.3">
      <c r="B938" s="20" t="s">
        <v>1924</v>
      </c>
      <c r="C938" s="8">
        <v>45555</v>
      </c>
      <c r="D938" s="7" t="s">
        <v>1925</v>
      </c>
      <c r="E938" s="7" t="s">
        <v>44</v>
      </c>
      <c r="F938" s="7" t="s">
        <v>19</v>
      </c>
      <c r="G938" s="7">
        <v>54</v>
      </c>
      <c r="H938" s="7" t="s">
        <v>20</v>
      </c>
      <c r="I938" s="7" t="s">
        <v>39</v>
      </c>
      <c r="J938" s="7" t="s">
        <v>22</v>
      </c>
      <c r="K938" s="7" t="s">
        <v>23</v>
      </c>
      <c r="L938" s="7" t="s">
        <v>47</v>
      </c>
      <c r="M938" s="7" t="s">
        <v>25</v>
      </c>
      <c r="N938" s="7">
        <v>1</v>
      </c>
      <c r="O938" s="7">
        <v>38491</v>
      </c>
      <c r="P938" s="7">
        <v>30792.799999999999</v>
      </c>
      <c r="Q938" s="9">
        <v>10275.5</v>
      </c>
      <c r="R938" s="17">
        <f t="shared" si="14"/>
        <v>0.33369813722688424</v>
      </c>
    </row>
    <row r="939" spans="2:18" x14ac:dyDescent="0.3">
      <c r="B939" s="21" t="s">
        <v>1926</v>
      </c>
      <c r="C939" s="11">
        <v>45523</v>
      </c>
      <c r="D939" s="10" t="s">
        <v>1927</v>
      </c>
      <c r="E939" s="10" t="s">
        <v>36</v>
      </c>
      <c r="F939" s="10" t="s">
        <v>37</v>
      </c>
      <c r="G939" s="10">
        <v>43</v>
      </c>
      <c r="H939" s="10" t="s">
        <v>56</v>
      </c>
      <c r="I939" s="10" t="s">
        <v>21</v>
      </c>
      <c r="J939" s="10" t="s">
        <v>22</v>
      </c>
      <c r="K939" s="10" t="s">
        <v>23</v>
      </c>
      <c r="L939" s="10" t="s">
        <v>24</v>
      </c>
      <c r="M939" s="10" t="s">
        <v>25</v>
      </c>
      <c r="N939" s="10">
        <v>4</v>
      </c>
      <c r="O939" s="10">
        <v>30647</v>
      </c>
      <c r="P939" s="10">
        <v>104199.8</v>
      </c>
      <c r="Q939" s="12">
        <v>27200.87</v>
      </c>
      <c r="R939" s="17">
        <f t="shared" si="14"/>
        <v>0.26104531870502629</v>
      </c>
    </row>
    <row r="940" spans="2:18" x14ac:dyDescent="0.3">
      <c r="B940" s="20" t="s">
        <v>1928</v>
      </c>
      <c r="C940" s="8">
        <v>45509</v>
      </c>
      <c r="D940" s="7" t="s">
        <v>1929</v>
      </c>
      <c r="E940" s="7" t="s">
        <v>76</v>
      </c>
      <c r="F940" s="7" t="s">
        <v>37</v>
      </c>
      <c r="G940" s="7">
        <v>25</v>
      </c>
      <c r="H940" s="7" t="s">
        <v>45</v>
      </c>
      <c r="I940" s="7" t="s">
        <v>21</v>
      </c>
      <c r="J940" s="7" t="s">
        <v>30</v>
      </c>
      <c r="K940" s="7" t="s">
        <v>23</v>
      </c>
      <c r="L940" s="7" t="s">
        <v>60</v>
      </c>
      <c r="M940" s="7" t="s">
        <v>41</v>
      </c>
      <c r="N940" s="7">
        <v>5</v>
      </c>
      <c r="O940" s="7">
        <v>27334</v>
      </c>
      <c r="P940" s="7">
        <v>136670</v>
      </c>
      <c r="Q940" s="9">
        <v>49340.51</v>
      </c>
      <c r="R940" s="17">
        <f t="shared" si="14"/>
        <v>0.36101931660203412</v>
      </c>
    </row>
    <row r="941" spans="2:18" x14ac:dyDescent="0.3">
      <c r="B941" s="21" t="s">
        <v>1930</v>
      </c>
      <c r="C941" s="11">
        <v>45325</v>
      </c>
      <c r="D941" s="10" t="s">
        <v>1931</v>
      </c>
      <c r="E941" s="10" t="s">
        <v>93</v>
      </c>
      <c r="F941" s="10" t="s">
        <v>37</v>
      </c>
      <c r="G941" s="10">
        <v>24</v>
      </c>
      <c r="H941" s="10" t="s">
        <v>29</v>
      </c>
      <c r="I941" s="10" t="s">
        <v>39</v>
      </c>
      <c r="J941" s="10" t="s">
        <v>30</v>
      </c>
      <c r="K941" s="10" t="s">
        <v>31</v>
      </c>
      <c r="L941" s="10" t="s">
        <v>60</v>
      </c>
      <c r="M941" s="10" t="s">
        <v>25</v>
      </c>
      <c r="N941" s="10">
        <v>2</v>
      </c>
      <c r="O941" s="10">
        <v>23821</v>
      </c>
      <c r="P941" s="10">
        <v>38113.599999999999</v>
      </c>
      <c r="Q941" s="12">
        <v>8883.5400000000009</v>
      </c>
      <c r="R941" s="17">
        <f t="shared" si="14"/>
        <v>0.23308058016036273</v>
      </c>
    </row>
    <row r="942" spans="2:18" x14ac:dyDescent="0.3">
      <c r="B942" s="20" t="s">
        <v>1932</v>
      </c>
      <c r="C942" s="8">
        <v>45376</v>
      </c>
      <c r="D942" s="7" t="s">
        <v>1933</v>
      </c>
      <c r="E942" s="7" t="s">
        <v>18</v>
      </c>
      <c r="F942" s="7" t="s">
        <v>37</v>
      </c>
      <c r="G942" s="7">
        <v>22</v>
      </c>
      <c r="H942" s="7" t="s">
        <v>56</v>
      </c>
      <c r="I942" s="7" t="s">
        <v>39</v>
      </c>
      <c r="J942" s="7" t="s">
        <v>50</v>
      </c>
      <c r="K942" s="7" t="s">
        <v>40</v>
      </c>
      <c r="L942" s="7" t="s">
        <v>24</v>
      </c>
      <c r="M942" s="7" t="s">
        <v>52</v>
      </c>
      <c r="N942" s="7">
        <v>2</v>
      </c>
      <c r="O942" s="7">
        <v>38447</v>
      </c>
      <c r="P942" s="7">
        <v>69204.600000000006</v>
      </c>
      <c r="Q942" s="9">
        <v>15806.22</v>
      </c>
      <c r="R942" s="17">
        <f t="shared" si="14"/>
        <v>0.22839840126234381</v>
      </c>
    </row>
    <row r="943" spans="2:18" x14ac:dyDescent="0.3">
      <c r="B943" s="21" t="s">
        <v>1934</v>
      </c>
      <c r="C943" s="11">
        <v>45310</v>
      </c>
      <c r="D943" s="10" t="s">
        <v>1935</v>
      </c>
      <c r="E943" s="10" t="s">
        <v>55</v>
      </c>
      <c r="F943" s="10" t="s">
        <v>19</v>
      </c>
      <c r="G943" s="10">
        <v>37</v>
      </c>
      <c r="H943" s="10" t="s">
        <v>29</v>
      </c>
      <c r="I943" s="10" t="s">
        <v>21</v>
      </c>
      <c r="J943" s="10" t="s">
        <v>50</v>
      </c>
      <c r="K943" s="10" t="s">
        <v>51</v>
      </c>
      <c r="L943" s="10" t="s">
        <v>80</v>
      </c>
      <c r="M943" s="10" t="s">
        <v>41</v>
      </c>
      <c r="N943" s="10">
        <v>5</v>
      </c>
      <c r="O943" s="10">
        <v>46642</v>
      </c>
      <c r="P943" s="10">
        <v>233210</v>
      </c>
      <c r="Q943" s="12">
        <v>51936.06</v>
      </c>
      <c r="R943" s="17">
        <f t="shared" si="14"/>
        <v>0.22270082758029244</v>
      </c>
    </row>
    <row r="944" spans="2:18" x14ac:dyDescent="0.3">
      <c r="B944" s="20" t="s">
        <v>1936</v>
      </c>
      <c r="C944" s="8">
        <v>45590</v>
      </c>
      <c r="D944" s="7" t="s">
        <v>1937</v>
      </c>
      <c r="E944" s="7" t="s">
        <v>44</v>
      </c>
      <c r="F944" s="7" t="s">
        <v>19</v>
      </c>
      <c r="G944" s="7">
        <v>46</v>
      </c>
      <c r="H944" s="7" t="s">
        <v>66</v>
      </c>
      <c r="I944" s="7" t="s">
        <v>46</v>
      </c>
      <c r="J944" s="7" t="s">
        <v>50</v>
      </c>
      <c r="K944" s="7" t="s">
        <v>31</v>
      </c>
      <c r="L944" s="7" t="s">
        <v>60</v>
      </c>
      <c r="M944" s="7" t="s">
        <v>33</v>
      </c>
      <c r="N944" s="7">
        <v>1</v>
      </c>
      <c r="O944" s="7">
        <v>14514</v>
      </c>
      <c r="P944" s="7">
        <v>12336.9</v>
      </c>
      <c r="Q944" s="9">
        <v>4363.47</v>
      </c>
      <c r="R944" s="17">
        <f t="shared" si="14"/>
        <v>0.35369258079420279</v>
      </c>
    </row>
    <row r="945" spans="2:18" x14ac:dyDescent="0.3">
      <c r="B945" s="21" t="s">
        <v>1938</v>
      </c>
      <c r="C945" s="11">
        <v>45359</v>
      </c>
      <c r="D945" s="10" t="s">
        <v>1939</v>
      </c>
      <c r="E945" s="10" t="s">
        <v>59</v>
      </c>
      <c r="F945" s="10" t="s">
        <v>19</v>
      </c>
      <c r="G945" s="10">
        <v>56</v>
      </c>
      <c r="H945" s="10" t="s">
        <v>66</v>
      </c>
      <c r="I945" s="10" t="s">
        <v>21</v>
      </c>
      <c r="J945" s="10" t="s">
        <v>50</v>
      </c>
      <c r="K945" s="10" t="s">
        <v>23</v>
      </c>
      <c r="L945" s="10" t="s">
        <v>32</v>
      </c>
      <c r="M945" s="10" t="s">
        <v>41</v>
      </c>
      <c r="N945" s="10">
        <v>3</v>
      </c>
      <c r="O945" s="10">
        <v>17964</v>
      </c>
      <c r="P945" s="10">
        <v>48502.8</v>
      </c>
      <c r="Q945" s="12">
        <v>17037.98</v>
      </c>
      <c r="R945" s="17">
        <f t="shared" si="14"/>
        <v>0.35127827671804512</v>
      </c>
    </row>
    <row r="946" spans="2:18" x14ac:dyDescent="0.3">
      <c r="B946" s="20" t="s">
        <v>1940</v>
      </c>
      <c r="C946" s="8">
        <v>45323</v>
      </c>
      <c r="D946" s="7" t="s">
        <v>1941</v>
      </c>
      <c r="E946" s="7" t="s">
        <v>93</v>
      </c>
      <c r="F946" s="7" t="s">
        <v>19</v>
      </c>
      <c r="G946" s="7">
        <v>34</v>
      </c>
      <c r="H946" s="7" t="s">
        <v>38</v>
      </c>
      <c r="I946" s="7" t="s">
        <v>46</v>
      </c>
      <c r="J946" s="7" t="s">
        <v>22</v>
      </c>
      <c r="K946" s="7" t="s">
        <v>40</v>
      </c>
      <c r="L946" s="7" t="s">
        <v>32</v>
      </c>
      <c r="M946" s="7" t="s">
        <v>41</v>
      </c>
      <c r="N946" s="7">
        <v>1</v>
      </c>
      <c r="O946" s="7">
        <v>14266</v>
      </c>
      <c r="P946" s="7">
        <v>12126.1</v>
      </c>
      <c r="Q946" s="9">
        <v>3747.26</v>
      </c>
      <c r="R946" s="17">
        <f t="shared" si="14"/>
        <v>0.30902433593653361</v>
      </c>
    </row>
    <row r="947" spans="2:18" x14ac:dyDescent="0.3">
      <c r="B947" s="21" t="s">
        <v>1942</v>
      </c>
      <c r="C947" s="11">
        <v>45341</v>
      </c>
      <c r="D947" s="10" t="s">
        <v>1943</v>
      </c>
      <c r="E947" s="10" t="s">
        <v>18</v>
      </c>
      <c r="F947" s="10" t="s">
        <v>37</v>
      </c>
      <c r="G947" s="10">
        <v>30</v>
      </c>
      <c r="H947" s="10" t="s">
        <v>45</v>
      </c>
      <c r="I947" s="10" t="s">
        <v>39</v>
      </c>
      <c r="J947" s="10" t="s">
        <v>30</v>
      </c>
      <c r="K947" s="10" t="s">
        <v>51</v>
      </c>
      <c r="L947" s="10" t="s">
        <v>32</v>
      </c>
      <c r="M947" s="10" t="s">
        <v>25</v>
      </c>
      <c r="N947" s="10">
        <v>4</v>
      </c>
      <c r="O947" s="10">
        <v>33250</v>
      </c>
      <c r="P947" s="10">
        <v>133000</v>
      </c>
      <c r="Q947" s="12">
        <v>40232.25</v>
      </c>
      <c r="R947" s="17">
        <f t="shared" si="14"/>
        <v>0.3024981203007519</v>
      </c>
    </row>
    <row r="948" spans="2:18" x14ac:dyDescent="0.3">
      <c r="B948" s="20" t="s">
        <v>1944</v>
      </c>
      <c r="C948" s="8">
        <v>45548</v>
      </c>
      <c r="D948" s="7" t="s">
        <v>1945</v>
      </c>
      <c r="E948" s="7" t="s">
        <v>28</v>
      </c>
      <c r="F948" s="7" t="s">
        <v>37</v>
      </c>
      <c r="G948" s="7">
        <v>52</v>
      </c>
      <c r="H948" s="7" t="s">
        <v>45</v>
      </c>
      <c r="I948" s="7" t="s">
        <v>21</v>
      </c>
      <c r="J948" s="7" t="s">
        <v>22</v>
      </c>
      <c r="K948" s="7" t="s">
        <v>31</v>
      </c>
      <c r="L948" s="7" t="s">
        <v>80</v>
      </c>
      <c r="M948" s="7" t="s">
        <v>25</v>
      </c>
      <c r="N948" s="7">
        <v>5</v>
      </c>
      <c r="O948" s="7">
        <v>13784</v>
      </c>
      <c r="P948" s="7">
        <v>68920</v>
      </c>
      <c r="Q948" s="9">
        <v>15422.81</v>
      </c>
      <c r="R948" s="17">
        <f t="shared" si="14"/>
        <v>0.22377843876958792</v>
      </c>
    </row>
    <row r="949" spans="2:18" x14ac:dyDescent="0.3">
      <c r="B949" s="21" t="s">
        <v>1946</v>
      </c>
      <c r="C949" s="11">
        <v>45503</v>
      </c>
      <c r="D949" s="10" t="s">
        <v>1947</v>
      </c>
      <c r="E949" s="10" t="s">
        <v>79</v>
      </c>
      <c r="F949" s="10" t="s">
        <v>19</v>
      </c>
      <c r="G949" s="10">
        <v>52</v>
      </c>
      <c r="H949" s="10" t="s">
        <v>20</v>
      </c>
      <c r="I949" s="10" t="s">
        <v>39</v>
      </c>
      <c r="J949" s="10" t="s">
        <v>22</v>
      </c>
      <c r="K949" s="10" t="s">
        <v>69</v>
      </c>
      <c r="L949" s="10" t="s">
        <v>47</v>
      </c>
      <c r="M949" s="10" t="s">
        <v>25</v>
      </c>
      <c r="N949" s="10">
        <v>1</v>
      </c>
      <c r="O949" s="10">
        <v>29675</v>
      </c>
      <c r="P949" s="10">
        <v>29675</v>
      </c>
      <c r="Q949" s="12">
        <v>9287.61</v>
      </c>
      <c r="R949" s="17">
        <f t="shared" si="14"/>
        <v>0.31297759056444818</v>
      </c>
    </row>
    <row r="950" spans="2:18" x14ac:dyDescent="0.3">
      <c r="B950" s="20" t="s">
        <v>1948</v>
      </c>
      <c r="C950" s="8">
        <v>45360</v>
      </c>
      <c r="D950" s="7" t="s">
        <v>1949</v>
      </c>
      <c r="E950" s="7" t="s">
        <v>44</v>
      </c>
      <c r="F950" s="7" t="s">
        <v>37</v>
      </c>
      <c r="G950" s="7">
        <v>24</v>
      </c>
      <c r="H950" s="7" t="s">
        <v>45</v>
      </c>
      <c r="I950" s="7" t="s">
        <v>21</v>
      </c>
      <c r="J950" s="7" t="s">
        <v>50</v>
      </c>
      <c r="K950" s="7" t="s">
        <v>31</v>
      </c>
      <c r="L950" s="7" t="s">
        <v>24</v>
      </c>
      <c r="M950" s="7" t="s">
        <v>52</v>
      </c>
      <c r="N950" s="7">
        <v>2</v>
      </c>
      <c r="O950" s="7">
        <v>8064</v>
      </c>
      <c r="P950" s="7">
        <v>13708.8</v>
      </c>
      <c r="Q950" s="9">
        <v>5132.08</v>
      </c>
      <c r="R950" s="17">
        <f t="shared" si="14"/>
        <v>0.37436391223155929</v>
      </c>
    </row>
    <row r="951" spans="2:18" x14ac:dyDescent="0.3">
      <c r="B951" s="21" t="s">
        <v>1950</v>
      </c>
      <c r="C951" s="11">
        <v>45617</v>
      </c>
      <c r="D951" s="10" t="s">
        <v>1951</v>
      </c>
      <c r="E951" s="10" t="s">
        <v>36</v>
      </c>
      <c r="F951" s="10" t="s">
        <v>37</v>
      </c>
      <c r="G951" s="10">
        <v>26</v>
      </c>
      <c r="H951" s="10" t="s">
        <v>38</v>
      </c>
      <c r="I951" s="10" t="s">
        <v>21</v>
      </c>
      <c r="J951" s="10" t="s">
        <v>30</v>
      </c>
      <c r="K951" s="10" t="s">
        <v>40</v>
      </c>
      <c r="L951" s="10" t="s">
        <v>80</v>
      </c>
      <c r="M951" s="10" t="s">
        <v>41</v>
      </c>
      <c r="N951" s="10">
        <v>5</v>
      </c>
      <c r="O951" s="10">
        <v>38008</v>
      </c>
      <c r="P951" s="10">
        <v>161534</v>
      </c>
      <c r="Q951" s="12">
        <v>47187.47</v>
      </c>
      <c r="R951" s="17">
        <f t="shared" si="14"/>
        <v>0.29212097762700112</v>
      </c>
    </row>
    <row r="952" spans="2:18" x14ac:dyDescent="0.3">
      <c r="B952" s="20" t="s">
        <v>1952</v>
      </c>
      <c r="C952" s="8">
        <v>45383</v>
      </c>
      <c r="D952" s="7" t="s">
        <v>1953</v>
      </c>
      <c r="E952" s="7" t="s">
        <v>65</v>
      </c>
      <c r="F952" s="7" t="s">
        <v>37</v>
      </c>
      <c r="G952" s="7">
        <v>31</v>
      </c>
      <c r="H952" s="7" t="s">
        <v>45</v>
      </c>
      <c r="I952" s="7" t="s">
        <v>21</v>
      </c>
      <c r="J952" s="7" t="s">
        <v>50</v>
      </c>
      <c r="K952" s="7" t="s">
        <v>31</v>
      </c>
      <c r="L952" s="7" t="s">
        <v>24</v>
      </c>
      <c r="M952" s="7" t="s">
        <v>33</v>
      </c>
      <c r="N952" s="7">
        <v>2</v>
      </c>
      <c r="O952" s="7">
        <v>39279</v>
      </c>
      <c r="P952" s="7">
        <v>74630.100000000006</v>
      </c>
      <c r="Q952" s="9">
        <v>23150.07</v>
      </c>
      <c r="R952" s="17">
        <f t="shared" si="14"/>
        <v>0.31019749404060826</v>
      </c>
    </row>
    <row r="953" spans="2:18" x14ac:dyDescent="0.3">
      <c r="B953" s="21" t="s">
        <v>1954</v>
      </c>
      <c r="C953" s="11">
        <v>45640</v>
      </c>
      <c r="D953" s="10" t="s">
        <v>1955</v>
      </c>
      <c r="E953" s="10" t="s">
        <v>79</v>
      </c>
      <c r="F953" s="10" t="s">
        <v>37</v>
      </c>
      <c r="G953" s="10">
        <v>49</v>
      </c>
      <c r="H953" s="10" t="s">
        <v>29</v>
      </c>
      <c r="I953" s="10" t="s">
        <v>21</v>
      </c>
      <c r="J953" s="10" t="s">
        <v>22</v>
      </c>
      <c r="K953" s="10" t="s">
        <v>69</v>
      </c>
      <c r="L953" s="10" t="s">
        <v>24</v>
      </c>
      <c r="M953" s="10" t="s">
        <v>52</v>
      </c>
      <c r="N953" s="10">
        <v>3</v>
      </c>
      <c r="O953" s="10">
        <v>32405</v>
      </c>
      <c r="P953" s="10">
        <v>77772</v>
      </c>
      <c r="Q953" s="12">
        <v>18309.169999999998</v>
      </c>
      <c r="R953" s="17">
        <f t="shared" si="14"/>
        <v>0.23542110271048705</v>
      </c>
    </row>
    <row r="954" spans="2:18" x14ac:dyDescent="0.3">
      <c r="B954" s="20" t="s">
        <v>1956</v>
      </c>
      <c r="C954" s="8">
        <v>45438</v>
      </c>
      <c r="D954" s="7" t="s">
        <v>1957</v>
      </c>
      <c r="E954" s="7" t="s">
        <v>55</v>
      </c>
      <c r="F954" s="7" t="s">
        <v>37</v>
      </c>
      <c r="G954" s="7">
        <v>55</v>
      </c>
      <c r="H954" s="7" t="s">
        <v>56</v>
      </c>
      <c r="I954" s="7" t="s">
        <v>46</v>
      </c>
      <c r="J954" s="7" t="s">
        <v>22</v>
      </c>
      <c r="K954" s="7" t="s">
        <v>51</v>
      </c>
      <c r="L954" s="7" t="s">
        <v>60</v>
      </c>
      <c r="M954" s="7" t="s">
        <v>41</v>
      </c>
      <c r="N954" s="7">
        <v>4</v>
      </c>
      <c r="O954" s="7">
        <v>27256</v>
      </c>
      <c r="P954" s="7">
        <v>87219.199999999997</v>
      </c>
      <c r="Q954" s="9">
        <v>16800.84</v>
      </c>
      <c r="R954" s="17">
        <f t="shared" si="14"/>
        <v>0.19262777003228648</v>
      </c>
    </row>
    <row r="955" spans="2:18" x14ac:dyDescent="0.3">
      <c r="B955" s="21" t="s">
        <v>1958</v>
      </c>
      <c r="C955" s="11">
        <v>45292</v>
      </c>
      <c r="D955" s="10" t="s">
        <v>1959</v>
      </c>
      <c r="E955" s="10" t="s">
        <v>76</v>
      </c>
      <c r="F955" s="10" t="s">
        <v>19</v>
      </c>
      <c r="G955" s="10">
        <v>37</v>
      </c>
      <c r="H955" s="10" t="s">
        <v>29</v>
      </c>
      <c r="I955" s="10" t="s">
        <v>21</v>
      </c>
      <c r="J955" s="10" t="s">
        <v>30</v>
      </c>
      <c r="K955" s="10" t="s">
        <v>31</v>
      </c>
      <c r="L955" s="10" t="s">
        <v>47</v>
      </c>
      <c r="M955" s="10" t="s">
        <v>25</v>
      </c>
      <c r="N955" s="10">
        <v>3</v>
      </c>
      <c r="O955" s="10">
        <v>12474</v>
      </c>
      <c r="P955" s="10">
        <v>31808.7</v>
      </c>
      <c r="Q955" s="12">
        <v>5055.37</v>
      </c>
      <c r="R955" s="17">
        <f t="shared" si="14"/>
        <v>0.15893041840754257</v>
      </c>
    </row>
    <row r="956" spans="2:18" x14ac:dyDescent="0.3">
      <c r="B956" s="20" t="s">
        <v>1960</v>
      </c>
      <c r="C956" s="8">
        <v>45603</v>
      </c>
      <c r="D956" s="7" t="s">
        <v>1961</v>
      </c>
      <c r="E956" s="7" t="s">
        <v>93</v>
      </c>
      <c r="F956" s="7" t="s">
        <v>37</v>
      </c>
      <c r="G956" s="7">
        <v>35</v>
      </c>
      <c r="H956" s="7" t="s">
        <v>56</v>
      </c>
      <c r="I956" s="7" t="s">
        <v>21</v>
      </c>
      <c r="J956" s="7" t="s">
        <v>30</v>
      </c>
      <c r="K956" s="7" t="s">
        <v>69</v>
      </c>
      <c r="L956" s="7" t="s">
        <v>60</v>
      </c>
      <c r="M956" s="7" t="s">
        <v>25</v>
      </c>
      <c r="N956" s="7">
        <v>1</v>
      </c>
      <c r="O956" s="7">
        <v>3814</v>
      </c>
      <c r="P956" s="7">
        <v>3051.2</v>
      </c>
      <c r="Q956" s="9">
        <v>818.88</v>
      </c>
      <c r="R956" s="17">
        <f t="shared" si="14"/>
        <v>0.26837965390665969</v>
      </c>
    </row>
    <row r="957" spans="2:18" x14ac:dyDescent="0.3">
      <c r="B957" s="21" t="s">
        <v>1962</v>
      </c>
      <c r="C957" s="11">
        <v>45567</v>
      </c>
      <c r="D957" s="10" t="s">
        <v>1963</v>
      </c>
      <c r="E957" s="10" t="s">
        <v>55</v>
      </c>
      <c r="F957" s="10" t="s">
        <v>37</v>
      </c>
      <c r="G957" s="10">
        <v>39</v>
      </c>
      <c r="H957" s="10" t="s">
        <v>56</v>
      </c>
      <c r="I957" s="10" t="s">
        <v>21</v>
      </c>
      <c r="J957" s="10" t="s">
        <v>22</v>
      </c>
      <c r="K957" s="10" t="s">
        <v>23</v>
      </c>
      <c r="L957" s="10" t="s">
        <v>24</v>
      </c>
      <c r="M957" s="10" t="s">
        <v>41</v>
      </c>
      <c r="N957" s="10">
        <v>3</v>
      </c>
      <c r="O957" s="10">
        <v>40142</v>
      </c>
      <c r="P957" s="10">
        <v>96340.800000000003</v>
      </c>
      <c r="Q957" s="12">
        <v>18336.849999999999</v>
      </c>
      <c r="R957" s="17">
        <f t="shared" si="14"/>
        <v>0.19033317140816766</v>
      </c>
    </row>
    <row r="958" spans="2:18" x14ac:dyDescent="0.3">
      <c r="B958" s="20" t="s">
        <v>1964</v>
      </c>
      <c r="C958" s="8">
        <v>45536</v>
      </c>
      <c r="D958" s="7" t="s">
        <v>1965</v>
      </c>
      <c r="E958" s="7" t="s">
        <v>79</v>
      </c>
      <c r="F958" s="7" t="s">
        <v>19</v>
      </c>
      <c r="G958" s="7">
        <v>38</v>
      </c>
      <c r="H958" s="7" t="s">
        <v>66</v>
      </c>
      <c r="I958" s="7" t="s">
        <v>39</v>
      </c>
      <c r="J958" s="7" t="s">
        <v>22</v>
      </c>
      <c r="K958" s="7" t="s">
        <v>31</v>
      </c>
      <c r="L958" s="7" t="s">
        <v>80</v>
      </c>
      <c r="M958" s="7" t="s">
        <v>33</v>
      </c>
      <c r="N958" s="7">
        <v>1</v>
      </c>
      <c r="O958" s="7">
        <v>11795</v>
      </c>
      <c r="P958" s="7">
        <v>9436</v>
      </c>
      <c r="Q958" s="9">
        <v>2288.7399999999998</v>
      </c>
      <c r="R958" s="17">
        <f t="shared" si="14"/>
        <v>0.24255404832556166</v>
      </c>
    </row>
    <row r="959" spans="2:18" x14ac:dyDescent="0.3">
      <c r="B959" s="21" t="s">
        <v>1966</v>
      </c>
      <c r="C959" s="11">
        <v>45606</v>
      </c>
      <c r="D959" s="10" t="s">
        <v>1967</v>
      </c>
      <c r="E959" s="10" t="s">
        <v>79</v>
      </c>
      <c r="F959" s="10" t="s">
        <v>37</v>
      </c>
      <c r="G959" s="10">
        <v>34</v>
      </c>
      <c r="H959" s="10" t="s">
        <v>66</v>
      </c>
      <c r="I959" s="10" t="s">
        <v>21</v>
      </c>
      <c r="J959" s="10" t="s">
        <v>22</v>
      </c>
      <c r="K959" s="10" t="s">
        <v>40</v>
      </c>
      <c r="L959" s="10" t="s">
        <v>60</v>
      </c>
      <c r="M959" s="10" t="s">
        <v>25</v>
      </c>
      <c r="N959" s="10">
        <v>5</v>
      </c>
      <c r="O959" s="10">
        <v>15795</v>
      </c>
      <c r="P959" s="10">
        <v>63180</v>
      </c>
      <c r="Q959" s="12">
        <v>13897.15</v>
      </c>
      <c r="R959" s="17">
        <f t="shared" si="14"/>
        <v>0.21996122190566633</v>
      </c>
    </row>
    <row r="960" spans="2:18" x14ac:dyDescent="0.3">
      <c r="B960" s="20" t="s">
        <v>1968</v>
      </c>
      <c r="C960" s="8">
        <v>45331</v>
      </c>
      <c r="D960" s="7" t="s">
        <v>1969</v>
      </c>
      <c r="E960" s="7" t="s">
        <v>76</v>
      </c>
      <c r="F960" s="7" t="s">
        <v>19</v>
      </c>
      <c r="G960" s="7">
        <v>39</v>
      </c>
      <c r="H960" s="7" t="s">
        <v>56</v>
      </c>
      <c r="I960" s="7" t="s">
        <v>21</v>
      </c>
      <c r="J960" s="7" t="s">
        <v>22</v>
      </c>
      <c r="K960" s="7" t="s">
        <v>31</v>
      </c>
      <c r="L960" s="7" t="s">
        <v>24</v>
      </c>
      <c r="M960" s="7" t="s">
        <v>52</v>
      </c>
      <c r="N960" s="7">
        <v>4</v>
      </c>
      <c r="O960" s="7">
        <v>13345</v>
      </c>
      <c r="P960" s="7">
        <v>50711</v>
      </c>
      <c r="Q960" s="9">
        <v>9440.18</v>
      </c>
      <c r="R960" s="17">
        <f t="shared" si="14"/>
        <v>0.18615645520695709</v>
      </c>
    </row>
    <row r="961" spans="2:18" x14ac:dyDescent="0.3">
      <c r="B961" s="21" t="s">
        <v>1970</v>
      </c>
      <c r="C961" s="11">
        <v>45609</v>
      </c>
      <c r="D961" s="10" t="s">
        <v>1971</v>
      </c>
      <c r="E961" s="10" t="s">
        <v>65</v>
      </c>
      <c r="F961" s="10" t="s">
        <v>19</v>
      </c>
      <c r="G961" s="10">
        <v>37</v>
      </c>
      <c r="H961" s="10" t="s">
        <v>38</v>
      </c>
      <c r="I961" s="10" t="s">
        <v>39</v>
      </c>
      <c r="J961" s="10" t="s">
        <v>30</v>
      </c>
      <c r="K961" s="10" t="s">
        <v>51</v>
      </c>
      <c r="L961" s="10" t="s">
        <v>24</v>
      </c>
      <c r="M961" s="10" t="s">
        <v>25</v>
      </c>
      <c r="N961" s="10">
        <v>1</v>
      </c>
      <c r="O961" s="10">
        <v>6968</v>
      </c>
      <c r="P961" s="10">
        <v>5922.8</v>
      </c>
      <c r="Q961" s="12">
        <v>1761.99</v>
      </c>
      <c r="R961" s="17">
        <f t="shared" si="14"/>
        <v>0.29749273992030795</v>
      </c>
    </row>
    <row r="962" spans="2:18" x14ac:dyDescent="0.3">
      <c r="B962" s="20" t="s">
        <v>1972</v>
      </c>
      <c r="C962" s="8">
        <v>45496</v>
      </c>
      <c r="D962" s="7" t="s">
        <v>1973</v>
      </c>
      <c r="E962" s="7" t="s">
        <v>55</v>
      </c>
      <c r="F962" s="7" t="s">
        <v>19</v>
      </c>
      <c r="G962" s="7">
        <v>54</v>
      </c>
      <c r="H962" s="7" t="s">
        <v>45</v>
      </c>
      <c r="I962" s="7" t="s">
        <v>21</v>
      </c>
      <c r="J962" s="7" t="s">
        <v>50</v>
      </c>
      <c r="K962" s="7" t="s">
        <v>51</v>
      </c>
      <c r="L962" s="7" t="s">
        <v>60</v>
      </c>
      <c r="M962" s="7" t="s">
        <v>33</v>
      </c>
      <c r="N962" s="7">
        <v>2</v>
      </c>
      <c r="O962" s="7">
        <v>5242</v>
      </c>
      <c r="P962" s="7">
        <v>8911.4</v>
      </c>
      <c r="Q962" s="9">
        <v>2182.4699999999998</v>
      </c>
      <c r="R962" s="17">
        <f t="shared" si="14"/>
        <v>0.24490764638552864</v>
      </c>
    </row>
    <row r="963" spans="2:18" x14ac:dyDescent="0.3">
      <c r="B963" s="21" t="s">
        <v>1974</v>
      </c>
      <c r="C963" s="11">
        <v>45295</v>
      </c>
      <c r="D963" s="10" t="s">
        <v>1975</v>
      </c>
      <c r="E963" s="10" t="s">
        <v>28</v>
      </c>
      <c r="F963" s="10" t="s">
        <v>37</v>
      </c>
      <c r="G963" s="10">
        <v>55</v>
      </c>
      <c r="H963" s="10" t="s">
        <v>38</v>
      </c>
      <c r="I963" s="10" t="s">
        <v>39</v>
      </c>
      <c r="J963" s="10" t="s">
        <v>30</v>
      </c>
      <c r="K963" s="10" t="s">
        <v>69</v>
      </c>
      <c r="L963" s="10" t="s">
        <v>60</v>
      </c>
      <c r="M963" s="10" t="s">
        <v>52</v>
      </c>
      <c r="N963" s="10">
        <v>2</v>
      </c>
      <c r="O963" s="10">
        <v>14173</v>
      </c>
      <c r="P963" s="10">
        <v>28346</v>
      </c>
      <c r="Q963" s="12">
        <v>11212.15</v>
      </c>
      <c r="R963" s="17">
        <f t="shared" si="14"/>
        <v>0.3955461087984195</v>
      </c>
    </row>
    <row r="964" spans="2:18" x14ac:dyDescent="0.3">
      <c r="B964" s="20" t="s">
        <v>1976</v>
      </c>
      <c r="C964" s="8">
        <v>45379</v>
      </c>
      <c r="D964" s="7" t="s">
        <v>1977</v>
      </c>
      <c r="E964" s="7" t="s">
        <v>79</v>
      </c>
      <c r="F964" s="7" t="s">
        <v>37</v>
      </c>
      <c r="G964" s="7">
        <v>43</v>
      </c>
      <c r="H964" s="7" t="s">
        <v>38</v>
      </c>
      <c r="I964" s="7" t="s">
        <v>21</v>
      </c>
      <c r="J964" s="7" t="s">
        <v>50</v>
      </c>
      <c r="K964" s="7" t="s">
        <v>40</v>
      </c>
      <c r="L964" s="7" t="s">
        <v>47</v>
      </c>
      <c r="M964" s="7" t="s">
        <v>25</v>
      </c>
      <c r="N964" s="7">
        <v>5</v>
      </c>
      <c r="O964" s="7">
        <v>9069</v>
      </c>
      <c r="P964" s="7">
        <v>38543.25</v>
      </c>
      <c r="Q964" s="9">
        <v>9902.31</v>
      </c>
      <c r="R964" s="17">
        <f t="shared" ref="R964:R1002" si="15">Q964/P964</f>
        <v>0.25691424568504212</v>
      </c>
    </row>
    <row r="965" spans="2:18" x14ac:dyDescent="0.3">
      <c r="B965" s="21" t="s">
        <v>1978</v>
      </c>
      <c r="C965" s="11">
        <v>45346</v>
      </c>
      <c r="D965" s="10" t="s">
        <v>1979</v>
      </c>
      <c r="E965" s="10" t="s">
        <v>59</v>
      </c>
      <c r="F965" s="10" t="s">
        <v>19</v>
      </c>
      <c r="G965" s="10">
        <v>30</v>
      </c>
      <c r="H965" s="10" t="s">
        <v>56</v>
      </c>
      <c r="I965" s="10" t="s">
        <v>21</v>
      </c>
      <c r="J965" s="10" t="s">
        <v>50</v>
      </c>
      <c r="K965" s="10" t="s">
        <v>40</v>
      </c>
      <c r="L965" s="10" t="s">
        <v>60</v>
      </c>
      <c r="M965" s="10" t="s">
        <v>52</v>
      </c>
      <c r="N965" s="10">
        <v>5</v>
      </c>
      <c r="O965" s="10">
        <v>34661</v>
      </c>
      <c r="P965" s="10">
        <v>173305</v>
      </c>
      <c r="Q965" s="12">
        <v>60903.59</v>
      </c>
      <c r="R965" s="17">
        <f t="shared" si="15"/>
        <v>0.35142430974293876</v>
      </c>
    </row>
    <row r="966" spans="2:18" x14ac:dyDescent="0.3">
      <c r="B966" s="20" t="s">
        <v>1980</v>
      </c>
      <c r="C966" s="8">
        <v>45619</v>
      </c>
      <c r="D966" s="7" t="s">
        <v>1981</v>
      </c>
      <c r="E966" s="7" t="s">
        <v>36</v>
      </c>
      <c r="F966" s="7" t="s">
        <v>19</v>
      </c>
      <c r="G966" s="7">
        <v>52</v>
      </c>
      <c r="H966" s="7" t="s">
        <v>45</v>
      </c>
      <c r="I966" s="7" t="s">
        <v>21</v>
      </c>
      <c r="J966" s="7" t="s">
        <v>22</v>
      </c>
      <c r="K966" s="7" t="s">
        <v>51</v>
      </c>
      <c r="L966" s="7" t="s">
        <v>32</v>
      </c>
      <c r="M966" s="7" t="s">
        <v>41</v>
      </c>
      <c r="N966" s="7">
        <v>3</v>
      </c>
      <c r="O966" s="7">
        <v>22149</v>
      </c>
      <c r="P966" s="7">
        <v>63124.65</v>
      </c>
      <c r="Q966" s="9">
        <v>17574.32</v>
      </c>
      <c r="R966" s="17">
        <f t="shared" si="15"/>
        <v>0.27840661294755692</v>
      </c>
    </row>
    <row r="967" spans="2:18" x14ac:dyDescent="0.3">
      <c r="B967" s="21" t="s">
        <v>1982</v>
      </c>
      <c r="C967" s="11">
        <v>45598</v>
      </c>
      <c r="D967" s="10" t="s">
        <v>1983</v>
      </c>
      <c r="E967" s="10" t="s">
        <v>79</v>
      </c>
      <c r="F967" s="10" t="s">
        <v>37</v>
      </c>
      <c r="G967" s="10">
        <v>54</v>
      </c>
      <c r="H967" s="10" t="s">
        <v>56</v>
      </c>
      <c r="I967" s="10" t="s">
        <v>21</v>
      </c>
      <c r="J967" s="10" t="s">
        <v>22</v>
      </c>
      <c r="K967" s="10" t="s">
        <v>51</v>
      </c>
      <c r="L967" s="10" t="s">
        <v>80</v>
      </c>
      <c r="M967" s="10" t="s">
        <v>41</v>
      </c>
      <c r="N967" s="10">
        <v>4</v>
      </c>
      <c r="O967" s="10">
        <v>47301</v>
      </c>
      <c r="P967" s="10">
        <v>189204</v>
      </c>
      <c r="Q967" s="12">
        <v>43290.33</v>
      </c>
      <c r="R967" s="17">
        <f t="shared" si="15"/>
        <v>0.2288024037546775</v>
      </c>
    </row>
    <row r="968" spans="2:18" x14ac:dyDescent="0.3">
      <c r="B968" s="20" t="s">
        <v>1984</v>
      </c>
      <c r="C968" s="8">
        <v>45585</v>
      </c>
      <c r="D968" s="7" t="s">
        <v>1985</v>
      </c>
      <c r="E968" s="7" t="s">
        <v>76</v>
      </c>
      <c r="F968" s="7" t="s">
        <v>19</v>
      </c>
      <c r="G968" s="7">
        <v>53</v>
      </c>
      <c r="H968" s="7" t="s">
        <v>29</v>
      </c>
      <c r="I968" s="7" t="s">
        <v>46</v>
      </c>
      <c r="J968" s="7" t="s">
        <v>50</v>
      </c>
      <c r="K968" s="7" t="s">
        <v>40</v>
      </c>
      <c r="L968" s="7" t="s">
        <v>24</v>
      </c>
      <c r="M968" s="7" t="s">
        <v>25</v>
      </c>
      <c r="N968" s="7">
        <v>1</v>
      </c>
      <c r="O968" s="7">
        <v>4792</v>
      </c>
      <c r="P968" s="7">
        <v>4312.8</v>
      </c>
      <c r="Q968" s="9">
        <v>1176.73</v>
      </c>
      <c r="R968" s="17">
        <f t="shared" si="15"/>
        <v>0.27284594694861808</v>
      </c>
    </row>
    <row r="969" spans="2:18" x14ac:dyDescent="0.3">
      <c r="B969" s="21" t="s">
        <v>1986</v>
      </c>
      <c r="C969" s="11">
        <v>45393</v>
      </c>
      <c r="D969" s="10" t="s">
        <v>1987</v>
      </c>
      <c r="E969" s="10" t="s">
        <v>93</v>
      </c>
      <c r="F969" s="10" t="s">
        <v>37</v>
      </c>
      <c r="G969" s="10">
        <v>52</v>
      </c>
      <c r="H969" s="10" t="s">
        <v>29</v>
      </c>
      <c r="I969" s="10" t="s">
        <v>46</v>
      </c>
      <c r="J969" s="10" t="s">
        <v>30</v>
      </c>
      <c r="K969" s="10" t="s">
        <v>51</v>
      </c>
      <c r="L969" s="10" t="s">
        <v>24</v>
      </c>
      <c r="M969" s="10" t="s">
        <v>33</v>
      </c>
      <c r="N969" s="10">
        <v>1</v>
      </c>
      <c r="O969" s="10">
        <v>41998</v>
      </c>
      <c r="P969" s="10">
        <v>33598.400000000001</v>
      </c>
      <c r="Q969" s="12">
        <v>9768.7000000000007</v>
      </c>
      <c r="R969" s="17">
        <f t="shared" si="15"/>
        <v>0.29074896423639224</v>
      </c>
    </row>
    <row r="970" spans="2:18" x14ac:dyDescent="0.3">
      <c r="B970" s="20" t="s">
        <v>1988</v>
      </c>
      <c r="C970" s="8">
        <v>45431</v>
      </c>
      <c r="D970" s="7" t="s">
        <v>1989</v>
      </c>
      <c r="E970" s="7" t="s">
        <v>28</v>
      </c>
      <c r="F970" s="7" t="s">
        <v>37</v>
      </c>
      <c r="G970" s="7">
        <v>29</v>
      </c>
      <c r="H970" s="7" t="s">
        <v>56</v>
      </c>
      <c r="I970" s="7" t="s">
        <v>21</v>
      </c>
      <c r="J970" s="7" t="s">
        <v>30</v>
      </c>
      <c r="K970" s="7" t="s">
        <v>69</v>
      </c>
      <c r="L970" s="7" t="s">
        <v>32</v>
      </c>
      <c r="M970" s="7" t="s">
        <v>33</v>
      </c>
      <c r="N970" s="7">
        <v>4</v>
      </c>
      <c r="O970" s="7">
        <v>15657</v>
      </c>
      <c r="P970" s="7">
        <v>62628</v>
      </c>
      <c r="Q970" s="9">
        <v>19474.3</v>
      </c>
      <c r="R970" s="17">
        <f t="shared" si="15"/>
        <v>0.31095197036469308</v>
      </c>
    </row>
    <row r="971" spans="2:18" x14ac:dyDescent="0.3">
      <c r="B971" s="21" t="s">
        <v>1990</v>
      </c>
      <c r="C971" s="11">
        <v>45398</v>
      </c>
      <c r="D971" s="10" t="s">
        <v>1991</v>
      </c>
      <c r="E971" s="10" t="s">
        <v>59</v>
      </c>
      <c r="F971" s="10" t="s">
        <v>19</v>
      </c>
      <c r="G971" s="10">
        <v>24</v>
      </c>
      <c r="H971" s="10" t="s">
        <v>66</v>
      </c>
      <c r="I971" s="10" t="s">
        <v>46</v>
      </c>
      <c r="J971" s="10" t="s">
        <v>30</v>
      </c>
      <c r="K971" s="10" t="s">
        <v>40</v>
      </c>
      <c r="L971" s="10" t="s">
        <v>47</v>
      </c>
      <c r="M971" s="10" t="s">
        <v>52</v>
      </c>
      <c r="N971" s="10">
        <v>5</v>
      </c>
      <c r="O971" s="10">
        <v>41766</v>
      </c>
      <c r="P971" s="10">
        <v>167064</v>
      </c>
      <c r="Q971" s="12">
        <v>59322.87</v>
      </c>
      <c r="R971" s="17">
        <f t="shared" si="15"/>
        <v>0.35509068380979747</v>
      </c>
    </row>
    <row r="972" spans="2:18" x14ac:dyDescent="0.3">
      <c r="B972" s="20" t="s">
        <v>1992</v>
      </c>
      <c r="C972" s="8">
        <v>45464</v>
      </c>
      <c r="D972" s="7" t="s">
        <v>1993</v>
      </c>
      <c r="E972" s="7" t="s">
        <v>18</v>
      </c>
      <c r="F972" s="7" t="s">
        <v>19</v>
      </c>
      <c r="G972" s="7">
        <v>45</v>
      </c>
      <c r="H972" s="7" t="s">
        <v>38</v>
      </c>
      <c r="I972" s="7" t="s">
        <v>46</v>
      </c>
      <c r="J972" s="7" t="s">
        <v>50</v>
      </c>
      <c r="K972" s="7" t="s">
        <v>23</v>
      </c>
      <c r="L972" s="7" t="s">
        <v>60</v>
      </c>
      <c r="M972" s="7" t="s">
        <v>52</v>
      </c>
      <c r="N972" s="7">
        <v>4</v>
      </c>
      <c r="O972" s="7">
        <v>24336</v>
      </c>
      <c r="P972" s="7">
        <v>92476.800000000003</v>
      </c>
      <c r="Q972" s="9">
        <v>33156.17</v>
      </c>
      <c r="R972" s="17">
        <f t="shared" si="15"/>
        <v>0.35853500553652373</v>
      </c>
    </row>
    <row r="973" spans="2:18" x14ac:dyDescent="0.3">
      <c r="B973" s="21" t="s">
        <v>1994</v>
      </c>
      <c r="C973" s="11">
        <v>45375</v>
      </c>
      <c r="D973" s="10" t="s">
        <v>1995</v>
      </c>
      <c r="E973" s="10" t="s">
        <v>28</v>
      </c>
      <c r="F973" s="10" t="s">
        <v>19</v>
      </c>
      <c r="G973" s="10">
        <v>19</v>
      </c>
      <c r="H973" s="10" t="s">
        <v>66</v>
      </c>
      <c r="I973" s="10" t="s">
        <v>39</v>
      </c>
      <c r="J973" s="10" t="s">
        <v>30</v>
      </c>
      <c r="K973" s="10" t="s">
        <v>51</v>
      </c>
      <c r="L973" s="10" t="s">
        <v>80</v>
      </c>
      <c r="M973" s="10" t="s">
        <v>25</v>
      </c>
      <c r="N973" s="10">
        <v>1</v>
      </c>
      <c r="O973" s="10">
        <v>26556</v>
      </c>
      <c r="P973" s="10">
        <v>26556</v>
      </c>
      <c r="Q973" s="12">
        <v>5378.23</v>
      </c>
      <c r="R973" s="17">
        <f t="shared" si="15"/>
        <v>0.20252410001506249</v>
      </c>
    </row>
    <row r="974" spans="2:18" x14ac:dyDescent="0.3">
      <c r="B974" s="20" t="s">
        <v>1996</v>
      </c>
      <c r="C974" s="8">
        <v>45522</v>
      </c>
      <c r="D974" s="7" t="s">
        <v>1997</v>
      </c>
      <c r="E974" s="7" t="s">
        <v>44</v>
      </c>
      <c r="F974" s="7" t="s">
        <v>19</v>
      </c>
      <c r="G974" s="7">
        <v>41</v>
      </c>
      <c r="H974" s="7" t="s">
        <v>20</v>
      </c>
      <c r="I974" s="7" t="s">
        <v>39</v>
      </c>
      <c r="J974" s="7" t="s">
        <v>50</v>
      </c>
      <c r="K974" s="7" t="s">
        <v>40</v>
      </c>
      <c r="L974" s="7" t="s">
        <v>47</v>
      </c>
      <c r="M974" s="7" t="s">
        <v>33</v>
      </c>
      <c r="N974" s="7">
        <v>2</v>
      </c>
      <c r="O974" s="7">
        <v>44311</v>
      </c>
      <c r="P974" s="7">
        <v>79759.8</v>
      </c>
      <c r="Q974" s="9">
        <v>14116.75</v>
      </c>
      <c r="R974" s="17">
        <f t="shared" si="15"/>
        <v>0.17699078984651415</v>
      </c>
    </row>
    <row r="975" spans="2:18" x14ac:dyDescent="0.3">
      <c r="B975" s="21" t="s">
        <v>1998</v>
      </c>
      <c r="C975" s="11">
        <v>45586</v>
      </c>
      <c r="D975" s="10" t="s">
        <v>1999</v>
      </c>
      <c r="E975" s="10" t="s">
        <v>76</v>
      </c>
      <c r="F975" s="10" t="s">
        <v>19</v>
      </c>
      <c r="G975" s="10">
        <v>27</v>
      </c>
      <c r="H975" s="10" t="s">
        <v>66</v>
      </c>
      <c r="I975" s="10" t="s">
        <v>39</v>
      </c>
      <c r="J975" s="10" t="s">
        <v>50</v>
      </c>
      <c r="K975" s="10" t="s">
        <v>69</v>
      </c>
      <c r="L975" s="10" t="s">
        <v>47</v>
      </c>
      <c r="M975" s="10" t="s">
        <v>41</v>
      </c>
      <c r="N975" s="10">
        <v>3</v>
      </c>
      <c r="O975" s="10">
        <v>26340</v>
      </c>
      <c r="P975" s="10">
        <v>71118</v>
      </c>
      <c r="Q975" s="12">
        <v>12258.81</v>
      </c>
      <c r="R975" s="17">
        <f t="shared" si="15"/>
        <v>0.1723728170083523</v>
      </c>
    </row>
    <row r="976" spans="2:18" x14ac:dyDescent="0.3">
      <c r="B976" s="20" t="s">
        <v>2000</v>
      </c>
      <c r="C976" s="8">
        <v>45362</v>
      </c>
      <c r="D976" s="7" t="s">
        <v>2001</v>
      </c>
      <c r="E976" s="7" t="s">
        <v>44</v>
      </c>
      <c r="F976" s="7" t="s">
        <v>19</v>
      </c>
      <c r="G976" s="7">
        <v>44</v>
      </c>
      <c r="H976" s="7" t="s">
        <v>29</v>
      </c>
      <c r="I976" s="7" t="s">
        <v>21</v>
      </c>
      <c r="J976" s="7" t="s">
        <v>50</v>
      </c>
      <c r="K976" s="7" t="s">
        <v>40</v>
      </c>
      <c r="L976" s="7" t="s">
        <v>60</v>
      </c>
      <c r="M976" s="7" t="s">
        <v>52</v>
      </c>
      <c r="N976" s="7">
        <v>5</v>
      </c>
      <c r="O976" s="7">
        <v>12824</v>
      </c>
      <c r="P976" s="7">
        <v>57708</v>
      </c>
      <c r="Q976" s="9">
        <v>19144.63</v>
      </c>
      <c r="R976" s="17">
        <f t="shared" si="15"/>
        <v>0.33175001732861997</v>
      </c>
    </row>
    <row r="977" spans="2:18" x14ac:dyDescent="0.3">
      <c r="B977" s="21" t="s">
        <v>2002</v>
      </c>
      <c r="C977" s="11">
        <v>45624</v>
      </c>
      <c r="D977" s="10" t="s">
        <v>2003</v>
      </c>
      <c r="E977" s="10" t="s">
        <v>76</v>
      </c>
      <c r="F977" s="10" t="s">
        <v>37</v>
      </c>
      <c r="G977" s="10">
        <v>53</v>
      </c>
      <c r="H977" s="10" t="s">
        <v>20</v>
      </c>
      <c r="I977" s="10" t="s">
        <v>46</v>
      </c>
      <c r="J977" s="10" t="s">
        <v>50</v>
      </c>
      <c r="K977" s="10" t="s">
        <v>40</v>
      </c>
      <c r="L977" s="10" t="s">
        <v>80</v>
      </c>
      <c r="M977" s="10" t="s">
        <v>41</v>
      </c>
      <c r="N977" s="10">
        <v>1</v>
      </c>
      <c r="O977" s="10">
        <v>8938</v>
      </c>
      <c r="P977" s="10">
        <v>7150.4</v>
      </c>
      <c r="Q977" s="12">
        <v>2407.4</v>
      </c>
      <c r="R977" s="17">
        <f t="shared" si="15"/>
        <v>0.33668046542850755</v>
      </c>
    </row>
    <row r="978" spans="2:18" x14ac:dyDescent="0.3">
      <c r="B978" s="20" t="s">
        <v>2004</v>
      </c>
      <c r="C978" s="8">
        <v>45488</v>
      </c>
      <c r="D978" s="7" t="s">
        <v>2005</v>
      </c>
      <c r="E978" s="7" t="s">
        <v>36</v>
      </c>
      <c r="F978" s="7" t="s">
        <v>37</v>
      </c>
      <c r="G978" s="7">
        <v>19</v>
      </c>
      <c r="H978" s="7" t="s">
        <v>56</v>
      </c>
      <c r="I978" s="7" t="s">
        <v>39</v>
      </c>
      <c r="J978" s="7" t="s">
        <v>22</v>
      </c>
      <c r="K978" s="7" t="s">
        <v>69</v>
      </c>
      <c r="L978" s="7" t="s">
        <v>32</v>
      </c>
      <c r="M978" s="7" t="s">
        <v>33</v>
      </c>
      <c r="N978" s="7">
        <v>5</v>
      </c>
      <c r="O978" s="7">
        <v>15778</v>
      </c>
      <c r="P978" s="7">
        <v>71001</v>
      </c>
      <c r="Q978" s="9">
        <v>14185.4</v>
      </c>
      <c r="R978" s="17">
        <f t="shared" si="15"/>
        <v>0.1997915522316587</v>
      </c>
    </row>
    <row r="979" spans="2:18" x14ac:dyDescent="0.3">
      <c r="B979" s="21" t="s">
        <v>2006</v>
      </c>
      <c r="C979" s="11">
        <v>45304</v>
      </c>
      <c r="D979" s="10" t="s">
        <v>2007</v>
      </c>
      <c r="E979" s="10" t="s">
        <v>79</v>
      </c>
      <c r="F979" s="10" t="s">
        <v>19</v>
      </c>
      <c r="G979" s="10">
        <v>34</v>
      </c>
      <c r="H979" s="10" t="s">
        <v>66</v>
      </c>
      <c r="I979" s="10" t="s">
        <v>39</v>
      </c>
      <c r="J979" s="10" t="s">
        <v>22</v>
      </c>
      <c r="K979" s="10" t="s">
        <v>23</v>
      </c>
      <c r="L979" s="10" t="s">
        <v>24</v>
      </c>
      <c r="M979" s="10" t="s">
        <v>25</v>
      </c>
      <c r="N979" s="10">
        <v>4</v>
      </c>
      <c r="O979" s="10">
        <v>8966</v>
      </c>
      <c r="P979" s="10">
        <v>34070.800000000003</v>
      </c>
      <c r="Q979" s="12">
        <v>6504.26</v>
      </c>
      <c r="R979" s="17">
        <f t="shared" si="15"/>
        <v>0.19090423471124834</v>
      </c>
    </row>
    <row r="980" spans="2:18" x14ac:dyDescent="0.3">
      <c r="B980" s="20" t="s">
        <v>2008</v>
      </c>
      <c r="C980" s="8">
        <v>45468</v>
      </c>
      <c r="D980" s="7" t="s">
        <v>2009</v>
      </c>
      <c r="E980" s="7" t="s">
        <v>59</v>
      </c>
      <c r="F980" s="7" t="s">
        <v>19</v>
      </c>
      <c r="G980" s="7">
        <v>44</v>
      </c>
      <c r="H980" s="7" t="s">
        <v>56</v>
      </c>
      <c r="I980" s="7" t="s">
        <v>39</v>
      </c>
      <c r="J980" s="7" t="s">
        <v>50</v>
      </c>
      <c r="K980" s="7" t="s">
        <v>40</v>
      </c>
      <c r="L980" s="7" t="s">
        <v>32</v>
      </c>
      <c r="M980" s="7" t="s">
        <v>41</v>
      </c>
      <c r="N980" s="7">
        <v>2</v>
      </c>
      <c r="O980" s="7">
        <v>20750</v>
      </c>
      <c r="P980" s="7">
        <v>35275</v>
      </c>
      <c r="Q980" s="9">
        <v>12619.07</v>
      </c>
      <c r="R980" s="17">
        <f t="shared" si="15"/>
        <v>0.35773408929836992</v>
      </c>
    </row>
    <row r="981" spans="2:18" x14ac:dyDescent="0.3">
      <c r="B981" s="21" t="s">
        <v>2010</v>
      </c>
      <c r="C981" s="11">
        <v>45641</v>
      </c>
      <c r="D981" s="10" t="s">
        <v>2011</v>
      </c>
      <c r="E981" s="10" t="s">
        <v>28</v>
      </c>
      <c r="F981" s="10" t="s">
        <v>37</v>
      </c>
      <c r="G981" s="10">
        <v>38</v>
      </c>
      <c r="H981" s="10" t="s">
        <v>45</v>
      </c>
      <c r="I981" s="10" t="s">
        <v>21</v>
      </c>
      <c r="J981" s="10" t="s">
        <v>22</v>
      </c>
      <c r="K981" s="10" t="s">
        <v>51</v>
      </c>
      <c r="L981" s="10" t="s">
        <v>60</v>
      </c>
      <c r="M981" s="10" t="s">
        <v>52</v>
      </c>
      <c r="N981" s="10">
        <v>5</v>
      </c>
      <c r="O981" s="10">
        <v>46737</v>
      </c>
      <c r="P981" s="10">
        <v>222000.75</v>
      </c>
      <c r="Q981" s="12">
        <v>62698.15</v>
      </c>
      <c r="R981" s="17">
        <f t="shared" si="15"/>
        <v>0.28242314496685261</v>
      </c>
    </row>
    <row r="982" spans="2:18" x14ac:dyDescent="0.3">
      <c r="B982" s="20" t="s">
        <v>2012</v>
      </c>
      <c r="C982" s="8">
        <v>45388</v>
      </c>
      <c r="D982" s="7" t="s">
        <v>2013</v>
      </c>
      <c r="E982" s="7" t="s">
        <v>93</v>
      </c>
      <c r="F982" s="7" t="s">
        <v>19</v>
      </c>
      <c r="G982" s="7">
        <v>56</v>
      </c>
      <c r="H982" s="7" t="s">
        <v>45</v>
      </c>
      <c r="I982" s="7" t="s">
        <v>21</v>
      </c>
      <c r="J982" s="7" t="s">
        <v>50</v>
      </c>
      <c r="K982" s="7" t="s">
        <v>69</v>
      </c>
      <c r="L982" s="7" t="s">
        <v>32</v>
      </c>
      <c r="M982" s="7" t="s">
        <v>41</v>
      </c>
      <c r="N982" s="7">
        <v>3</v>
      </c>
      <c r="O982" s="7">
        <v>24959</v>
      </c>
      <c r="P982" s="7">
        <v>74877</v>
      </c>
      <c r="Q982" s="9">
        <v>13848.06</v>
      </c>
      <c r="R982" s="17">
        <f t="shared" si="15"/>
        <v>0.18494410833767377</v>
      </c>
    </row>
    <row r="983" spans="2:18" x14ac:dyDescent="0.3">
      <c r="B983" s="21" t="s">
        <v>2014</v>
      </c>
      <c r="C983" s="11">
        <v>45383</v>
      </c>
      <c r="D983" s="10" t="s">
        <v>2015</v>
      </c>
      <c r="E983" s="10" t="s">
        <v>93</v>
      </c>
      <c r="F983" s="10" t="s">
        <v>19</v>
      </c>
      <c r="G983" s="10">
        <v>59</v>
      </c>
      <c r="H983" s="10" t="s">
        <v>38</v>
      </c>
      <c r="I983" s="10" t="s">
        <v>39</v>
      </c>
      <c r="J983" s="10" t="s">
        <v>50</v>
      </c>
      <c r="K983" s="10" t="s">
        <v>23</v>
      </c>
      <c r="L983" s="10" t="s">
        <v>47</v>
      </c>
      <c r="M983" s="10" t="s">
        <v>52</v>
      </c>
      <c r="N983" s="10">
        <v>4</v>
      </c>
      <c r="O983" s="10">
        <v>21562</v>
      </c>
      <c r="P983" s="10">
        <v>86248</v>
      </c>
      <c r="Q983" s="12">
        <v>34325.86</v>
      </c>
      <c r="R983" s="17">
        <f t="shared" si="15"/>
        <v>0.39799021426583808</v>
      </c>
    </row>
    <row r="984" spans="2:18" x14ac:dyDescent="0.3">
      <c r="B984" s="20" t="s">
        <v>2016</v>
      </c>
      <c r="C984" s="8">
        <v>45307</v>
      </c>
      <c r="D984" s="7" t="s">
        <v>2017</v>
      </c>
      <c r="E984" s="7" t="s">
        <v>28</v>
      </c>
      <c r="F984" s="7" t="s">
        <v>19</v>
      </c>
      <c r="G984" s="7">
        <v>29</v>
      </c>
      <c r="H984" s="7" t="s">
        <v>66</v>
      </c>
      <c r="I984" s="7" t="s">
        <v>21</v>
      </c>
      <c r="J984" s="7" t="s">
        <v>50</v>
      </c>
      <c r="K984" s="7" t="s">
        <v>40</v>
      </c>
      <c r="L984" s="7" t="s">
        <v>80</v>
      </c>
      <c r="M984" s="7" t="s">
        <v>41</v>
      </c>
      <c r="N984" s="7">
        <v>4</v>
      </c>
      <c r="O984" s="7">
        <v>29459</v>
      </c>
      <c r="P984" s="7">
        <v>94268.800000000003</v>
      </c>
      <c r="Q984" s="9">
        <v>31076.76</v>
      </c>
      <c r="R984" s="17">
        <f t="shared" si="15"/>
        <v>0.329661139210428</v>
      </c>
    </row>
    <row r="985" spans="2:18" x14ac:dyDescent="0.3">
      <c r="B985" s="21" t="s">
        <v>2018</v>
      </c>
      <c r="C985" s="11">
        <v>45601</v>
      </c>
      <c r="D985" s="10" t="s">
        <v>2019</v>
      </c>
      <c r="E985" s="10" t="s">
        <v>93</v>
      </c>
      <c r="F985" s="10" t="s">
        <v>37</v>
      </c>
      <c r="G985" s="10">
        <v>40</v>
      </c>
      <c r="H985" s="10" t="s">
        <v>20</v>
      </c>
      <c r="I985" s="10" t="s">
        <v>46</v>
      </c>
      <c r="J985" s="10" t="s">
        <v>50</v>
      </c>
      <c r="K985" s="10" t="s">
        <v>23</v>
      </c>
      <c r="L985" s="10" t="s">
        <v>24</v>
      </c>
      <c r="M985" s="10" t="s">
        <v>25</v>
      </c>
      <c r="N985" s="10">
        <v>2</v>
      </c>
      <c r="O985" s="10">
        <v>44709</v>
      </c>
      <c r="P985" s="10">
        <v>76005.3</v>
      </c>
      <c r="Q985" s="12">
        <v>28018.53</v>
      </c>
      <c r="R985" s="17">
        <f t="shared" si="15"/>
        <v>0.36863916069010971</v>
      </c>
    </row>
    <row r="986" spans="2:18" x14ac:dyDescent="0.3">
      <c r="B986" s="20" t="s">
        <v>2020</v>
      </c>
      <c r="C986" s="8">
        <v>45393</v>
      </c>
      <c r="D986" s="7" t="s">
        <v>2021</v>
      </c>
      <c r="E986" s="7" t="s">
        <v>28</v>
      </c>
      <c r="F986" s="7" t="s">
        <v>37</v>
      </c>
      <c r="G986" s="7">
        <v>40</v>
      </c>
      <c r="H986" s="7" t="s">
        <v>66</v>
      </c>
      <c r="I986" s="7" t="s">
        <v>21</v>
      </c>
      <c r="J986" s="7" t="s">
        <v>50</v>
      </c>
      <c r="K986" s="7" t="s">
        <v>51</v>
      </c>
      <c r="L986" s="7" t="s">
        <v>32</v>
      </c>
      <c r="M986" s="7" t="s">
        <v>33</v>
      </c>
      <c r="N986" s="7">
        <v>4</v>
      </c>
      <c r="O986" s="7">
        <v>7503</v>
      </c>
      <c r="P986" s="7">
        <v>25510.2</v>
      </c>
      <c r="Q986" s="9">
        <v>7742.6</v>
      </c>
      <c r="R986" s="17">
        <f t="shared" si="15"/>
        <v>0.30350996856159496</v>
      </c>
    </row>
    <row r="987" spans="2:18" x14ac:dyDescent="0.3">
      <c r="B987" s="21" t="s">
        <v>2022</v>
      </c>
      <c r="C987" s="11">
        <v>45496</v>
      </c>
      <c r="D987" s="10" t="s">
        <v>2023</v>
      </c>
      <c r="E987" s="10" t="s">
        <v>65</v>
      </c>
      <c r="F987" s="10" t="s">
        <v>19</v>
      </c>
      <c r="G987" s="10">
        <v>51</v>
      </c>
      <c r="H987" s="10" t="s">
        <v>38</v>
      </c>
      <c r="I987" s="10" t="s">
        <v>46</v>
      </c>
      <c r="J987" s="10" t="s">
        <v>22</v>
      </c>
      <c r="K987" s="10" t="s">
        <v>51</v>
      </c>
      <c r="L987" s="10" t="s">
        <v>47</v>
      </c>
      <c r="M987" s="10" t="s">
        <v>25</v>
      </c>
      <c r="N987" s="10">
        <v>3</v>
      </c>
      <c r="O987" s="10">
        <v>39356</v>
      </c>
      <c r="P987" s="10">
        <v>106261.2</v>
      </c>
      <c r="Q987" s="12">
        <v>34089.120000000003</v>
      </c>
      <c r="R987" s="17">
        <f t="shared" si="15"/>
        <v>0.32080495985364371</v>
      </c>
    </row>
    <row r="988" spans="2:18" x14ac:dyDescent="0.3">
      <c r="B988" s="20" t="s">
        <v>2024</v>
      </c>
      <c r="C988" s="8">
        <v>45297</v>
      </c>
      <c r="D988" s="7" t="s">
        <v>2025</v>
      </c>
      <c r="E988" s="7" t="s">
        <v>44</v>
      </c>
      <c r="F988" s="7" t="s">
        <v>19</v>
      </c>
      <c r="G988" s="7">
        <v>24</v>
      </c>
      <c r="H988" s="7" t="s">
        <v>45</v>
      </c>
      <c r="I988" s="7" t="s">
        <v>21</v>
      </c>
      <c r="J988" s="7" t="s">
        <v>30</v>
      </c>
      <c r="K988" s="7" t="s">
        <v>51</v>
      </c>
      <c r="L988" s="7" t="s">
        <v>60</v>
      </c>
      <c r="M988" s="7" t="s">
        <v>33</v>
      </c>
      <c r="N988" s="7">
        <v>2</v>
      </c>
      <c r="O988" s="7">
        <v>35658</v>
      </c>
      <c r="P988" s="7">
        <v>67750.2</v>
      </c>
      <c r="Q988" s="9">
        <v>25367.3</v>
      </c>
      <c r="R988" s="17">
        <f t="shared" si="15"/>
        <v>0.37442398694025997</v>
      </c>
    </row>
    <row r="989" spans="2:18" x14ac:dyDescent="0.3">
      <c r="B989" s="21" t="s">
        <v>2026</v>
      </c>
      <c r="C989" s="11">
        <v>45488</v>
      </c>
      <c r="D989" s="10" t="s">
        <v>2027</v>
      </c>
      <c r="E989" s="10" t="s">
        <v>44</v>
      </c>
      <c r="F989" s="10" t="s">
        <v>37</v>
      </c>
      <c r="G989" s="10">
        <v>20</v>
      </c>
      <c r="H989" s="10" t="s">
        <v>29</v>
      </c>
      <c r="I989" s="10" t="s">
        <v>21</v>
      </c>
      <c r="J989" s="10" t="s">
        <v>22</v>
      </c>
      <c r="K989" s="10" t="s">
        <v>31</v>
      </c>
      <c r="L989" s="10" t="s">
        <v>80</v>
      </c>
      <c r="M989" s="10" t="s">
        <v>41</v>
      </c>
      <c r="N989" s="10">
        <v>2</v>
      </c>
      <c r="O989" s="10">
        <v>16748</v>
      </c>
      <c r="P989" s="10">
        <v>26796.799999999999</v>
      </c>
      <c r="Q989" s="12">
        <v>7923.13</v>
      </c>
      <c r="R989" s="17">
        <f t="shared" si="15"/>
        <v>0.29567448352042036</v>
      </c>
    </row>
    <row r="990" spans="2:18" x14ac:dyDescent="0.3">
      <c r="B990" s="20" t="s">
        <v>2028</v>
      </c>
      <c r="C990" s="8">
        <v>45463</v>
      </c>
      <c r="D990" s="7" t="s">
        <v>2029</v>
      </c>
      <c r="E990" s="7" t="s">
        <v>59</v>
      </c>
      <c r="F990" s="7" t="s">
        <v>19</v>
      </c>
      <c r="G990" s="7">
        <v>39</v>
      </c>
      <c r="H990" s="7" t="s">
        <v>29</v>
      </c>
      <c r="I990" s="7" t="s">
        <v>21</v>
      </c>
      <c r="J990" s="7" t="s">
        <v>22</v>
      </c>
      <c r="K990" s="7" t="s">
        <v>40</v>
      </c>
      <c r="L990" s="7" t="s">
        <v>80</v>
      </c>
      <c r="M990" s="7" t="s">
        <v>25</v>
      </c>
      <c r="N990" s="7">
        <v>1</v>
      </c>
      <c r="O990" s="7">
        <v>13756</v>
      </c>
      <c r="P990" s="7">
        <v>11692.6</v>
      </c>
      <c r="Q990" s="9">
        <v>4103.32</v>
      </c>
      <c r="R990" s="17">
        <f t="shared" si="15"/>
        <v>0.35093306877854363</v>
      </c>
    </row>
    <row r="991" spans="2:18" x14ac:dyDescent="0.3">
      <c r="B991" s="21" t="s">
        <v>2030</v>
      </c>
      <c r="C991" s="11">
        <v>45319</v>
      </c>
      <c r="D991" s="10" t="s">
        <v>2031</v>
      </c>
      <c r="E991" s="10" t="s">
        <v>44</v>
      </c>
      <c r="F991" s="10" t="s">
        <v>19</v>
      </c>
      <c r="G991" s="10">
        <v>23</v>
      </c>
      <c r="H991" s="10" t="s">
        <v>20</v>
      </c>
      <c r="I991" s="10" t="s">
        <v>21</v>
      </c>
      <c r="J991" s="10" t="s">
        <v>50</v>
      </c>
      <c r="K991" s="10" t="s">
        <v>51</v>
      </c>
      <c r="L991" s="10" t="s">
        <v>60</v>
      </c>
      <c r="M991" s="10" t="s">
        <v>52</v>
      </c>
      <c r="N991" s="10">
        <v>2</v>
      </c>
      <c r="O991" s="10">
        <v>47233</v>
      </c>
      <c r="P991" s="10">
        <v>85019.4</v>
      </c>
      <c r="Q991" s="12">
        <v>20185.04</v>
      </c>
      <c r="R991" s="17">
        <f t="shared" si="15"/>
        <v>0.23741687191393968</v>
      </c>
    </row>
    <row r="992" spans="2:18" x14ac:dyDescent="0.3">
      <c r="B992" s="20" t="s">
        <v>2032</v>
      </c>
      <c r="C992" s="8">
        <v>45295</v>
      </c>
      <c r="D992" s="7" t="s">
        <v>2033</v>
      </c>
      <c r="E992" s="7" t="s">
        <v>36</v>
      </c>
      <c r="F992" s="7" t="s">
        <v>19</v>
      </c>
      <c r="G992" s="7">
        <v>35</v>
      </c>
      <c r="H992" s="7" t="s">
        <v>45</v>
      </c>
      <c r="I992" s="7" t="s">
        <v>21</v>
      </c>
      <c r="J992" s="7" t="s">
        <v>22</v>
      </c>
      <c r="K992" s="7" t="s">
        <v>31</v>
      </c>
      <c r="L992" s="7" t="s">
        <v>80</v>
      </c>
      <c r="M992" s="7" t="s">
        <v>25</v>
      </c>
      <c r="N992" s="7">
        <v>3</v>
      </c>
      <c r="O992" s="7">
        <v>9464</v>
      </c>
      <c r="P992" s="7">
        <v>25552.799999999999</v>
      </c>
      <c r="Q992" s="9">
        <v>8618.2099999999991</v>
      </c>
      <c r="R992" s="17">
        <f t="shared" si="15"/>
        <v>0.33727067092451707</v>
      </c>
    </row>
    <row r="993" spans="2:18" x14ac:dyDescent="0.3">
      <c r="B993" s="21" t="s">
        <v>2034</v>
      </c>
      <c r="C993" s="11">
        <v>45497</v>
      </c>
      <c r="D993" s="10" t="s">
        <v>2035</v>
      </c>
      <c r="E993" s="10" t="s">
        <v>36</v>
      </c>
      <c r="F993" s="10" t="s">
        <v>19</v>
      </c>
      <c r="G993" s="10">
        <v>54</v>
      </c>
      <c r="H993" s="10" t="s">
        <v>29</v>
      </c>
      <c r="I993" s="10" t="s">
        <v>21</v>
      </c>
      <c r="J993" s="10" t="s">
        <v>30</v>
      </c>
      <c r="K993" s="10" t="s">
        <v>40</v>
      </c>
      <c r="L993" s="10" t="s">
        <v>32</v>
      </c>
      <c r="M993" s="10" t="s">
        <v>41</v>
      </c>
      <c r="N993" s="10">
        <v>4</v>
      </c>
      <c r="O993" s="10">
        <v>30778</v>
      </c>
      <c r="P993" s="10">
        <v>110800.8</v>
      </c>
      <c r="Q993" s="12">
        <v>22461.75</v>
      </c>
      <c r="R993" s="17">
        <f t="shared" si="15"/>
        <v>0.20272191175514978</v>
      </c>
    </row>
    <row r="994" spans="2:18" x14ac:dyDescent="0.3">
      <c r="B994" s="20" t="s">
        <v>2036</v>
      </c>
      <c r="C994" s="8">
        <v>45474</v>
      </c>
      <c r="D994" s="7" t="s">
        <v>2037</v>
      </c>
      <c r="E994" s="7" t="s">
        <v>76</v>
      </c>
      <c r="F994" s="7" t="s">
        <v>19</v>
      </c>
      <c r="G994" s="7">
        <v>37</v>
      </c>
      <c r="H994" s="7" t="s">
        <v>56</v>
      </c>
      <c r="I994" s="7" t="s">
        <v>21</v>
      </c>
      <c r="J994" s="7" t="s">
        <v>30</v>
      </c>
      <c r="K994" s="7" t="s">
        <v>69</v>
      </c>
      <c r="L994" s="7" t="s">
        <v>32</v>
      </c>
      <c r="M994" s="7" t="s">
        <v>41</v>
      </c>
      <c r="N994" s="7">
        <v>5</v>
      </c>
      <c r="O994" s="7">
        <v>40779</v>
      </c>
      <c r="P994" s="7">
        <v>173310.75</v>
      </c>
      <c r="Q994" s="9">
        <v>46331.28</v>
      </c>
      <c r="R994" s="17">
        <f t="shared" si="15"/>
        <v>0.26733067625637763</v>
      </c>
    </row>
    <row r="995" spans="2:18" x14ac:dyDescent="0.3">
      <c r="B995" s="21" t="s">
        <v>2038</v>
      </c>
      <c r="C995" s="11">
        <v>45360</v>
      </c>
      <c r="D995" s="10" t="s">
        <v>2039</v>
      </c>
      <c r="E995" s="10" t="s">
        <v>36</v>
      </c>
      <c r="F995" s="10" t="s">
        <v>19</v>
      </c>
      <c r="G995" s="10">
        <v>51</v>
      </c>
      <c r="H995" s="10" t="s">
        <v>66</v>
      </c>
      <c r="I995" s="10" t="s">
        <v>21</v>
      </c>
      <c r="J995" s="10" t="s">
        <v>30</v>
      </c>
      <c r="K995" s="10" t="s">
        <v>40</v>
      </c>
      <c r="L995" s="10" t="s">
        <v>47</v>
      </c>
      <c r="M995" s="10" t="s">
        <v>33</v>
      </c>
      <c r="N995" s="10">
        <v>4</v>
      </c>
      <c r="O995" s="10">
        <v>35590</v>
      </c>
      <c r="P995" s="10">
        <v>135242</v>
      </c>
      <c r="Q995" s="12">
        <v>26769.64</v>
      </c>
      <c r="R995" s="17">
        <f t="shared" si="15"/>
        <v>0.19793880599222136</v>
      </c>
    </row>
    <row r="996" spans="2:18" x14ac:dyDescent="0.3">
      <c r="B996" s="20" t="s">
        <v>2040</v>
      </c>
      <c r="C996" s="8">
        <v>45479</v>
      </c>
      <c r="D996" s="7" t="s">
        <v>2041</v>
      </c>
      <c r="E996" s="7" t="s">
        <v>76</v>
      </c>
      <c r="F996" s="7" t="s">
        <v>37</v>
      </c>
      <c r="G996" s="7">
        <v>20</v>
      </c>
      <c r="H996" s="7" t="s">
        <v>20</v>
      </c>
      <c r="I996" s="7" t="s">
        <v>21</v>
      </c>
      <c r="J996" s="7" t="s">
        <v>50</v>
      </c>
      <c r="K996" s="7" t="s">
        <v>31</v>
      </c>
      <c r="L996" s="7" t="s">
        <v>60</v>
      </c>
      <c r="M996" s="7" t="s">
        <v>33</v>
      </c>
      <c r="N996" s="7">
        <v>1</v>
      </c>
      <c r="O996" s="7">
        <v>29358</v>
      </c>
      <c r="P996" s="7">
        <v>29358</v>
      </c>
      <c r="Q996" s="9">
        <v>7504.76</v>
      </c>
      <c r="R996" s="17">
        <f t="shared" si="15"/>
        <v>0.25562913004973092</v>
      </c>
    </row>
    <row r="997" spans="2:18" x14ac:dyDescent="0.3">
      <c r="B997" s="21" t="s">
        <v>2042</v>
      </c>
      <c r="C997" s="11">
        <v>45534</v>
      </c>
      <c r="D997" s="10" t="s">
        <v>2043</v>
      </c>
      <c r="E997" s="10" t="s">
        <v>65</v>
      </c>
      <c r="F997" s="10" t="s">
        <v>37</v>
      </c>
      <c r="G997" s="10">
        <v>56</v>
      </c>
      <c r="H997" s="10" t="s">
        <v>20</v>
      </c>
      <c r="I997" s="10" t="s">
        <v>21</v>
      </c>
      <c r="J997" s="10" t="s">
        <v>30</v>
      </c>
      <c r="K997" s="10" t="s">
        <v>40</v>
      </c>
      <c r="L997" s="10" t="s">
        <v>80</v>
      </c>
      <c r="M997" s="10" t="s">
        <v>25</v>
      </c>
      <c r="N997" s="10">
        <v>2</v>
      </c>
      <c r="O997" s="10">
        <v>22242</v>
      </c>
      <c r="P997" s="10">
        <v>44484</v>
      </c>
      <c r="Q997" s="12">
        <v>7050.16</v>
      </c>
      <c r="R997" s="17">
        <f t="shared" si="15"/>
        <v>0.15848754608398524</v>
      </c>
    </row>
    <row r="998" spans="2:18" x14ac:dyDescent="0.3">
      <c r="B998" s="20" t="s">
        <v>2044</v>
      </c>
      <c r="C998" s="8">
        <v>45535</v>
      </c>
      <c r="D998" s="7" t="s">
        <v>2045</v>
      </c>
      <c r="E998" s="7" t="s">
        <v>59</v>
      </c>
      <c r="F998" s="7" t="s">
        <v>37</v>
      </c>
      <c r="G998" s="7">
        <v>20</v>
      </c>
      <c r="H998" s="7" t="s">
        <v>66</v>
      </c>
      <c r="I998" s="7" t="s">
        <v>46</v>
      </c>
      <c r="J998" s="7" t="s">
        <v>30</v>
      </c>
      <c r="K998" s="7" t="s">
        <v>23</v>
      </c>
      <c r="L998" s="7" t="s">
        <v>32</v>
      </c>
      <c r="M998" s="7" t="s">
        <v>41</v>
      </c>
      <c r="N998" s="7">
        <v>3</v>
      </c>
      <c r="O998" s="7">
        <v>38094</v>
      </c>
      <c r="P998" s="7">
        <v>91425.600000000006</v>
      </c>
      <c r="Q998" s="9">
        <v>16398.509999999998</v>
      </c>
      <c r="R998" s="17">
        <f t="shared" si="15"/>
        <v>0.17936453247230533</v>
      </c>
    </row>
    <row r="999" spans="2:18" x14ac:dyDescent="0.3">
      <c r="B999" s="21" t="s">
        <v>2046</v>
      </c>
      <c r="C999" s="11">
        <v>45542</v>
      </c>
      <c r="D999" s="10" t="s">
        <v>2047</v>
      </c>
      <c r="E999" s="10" t="s">
        <v>44</v>
      </c>
      <c r="F999" s="10" t="s">
        <v>19</v>
      </c>
      <c r="G999" s="10">
        <v>22</v>
      </c>
      <c r="H999" s="10" t="s">
        <v>29</v>
      </c>
      <c r="I999" s="10" t="s">
        <v>39</v>
      </c>
      <c r="J999" s="10" t="s">
        <v>30</v>
      </c>
      <c r="K999" s="10" t="s">
        <v>69</v>
      </c>
      <c r="L999" s="10" t="s">
        <v>24</v>
      </c>
      <c r="M999" s="10" t="s">
        <v>52</v>
      </c>
      <c r="N999" s="10">
        <v>5</v>
      </c>
      <c r="O999" s="10">
        <v>37707</v>
      </c>
      <c r="P999" s="10">
        <v>160254.75</v>
      </c>
      <c r="Q999" s="12">
        <v>60664.95</v>
      </c>
      <c r="R999" s="17">
        <f t="shared" si="15"/>
        <v>0.37855320981125362</v>
      </c>
    </row>
    <row r="1000" spans="2:18" x14ac:dyDescent="0.3">
      <c r="B1000" s="20" t="s">
        <v>2048</v>
      </c>
      <c r="C1000" s="8">
        <v>45614</v>
      </c>
      <c r="D1000" s="7" t="s">
        <v>2049</v>
      </c>
      <c r="E1000" s="7" t="s">
        <v>79</v>
      </c>
      <c r="F1000" s="7" t="s">
        <v>19</v>
      </c>
      <c r="G1000" s="7">
        <v>60</v>
      </c>
      <c r="H1000" s="7" t="s">
        <v>56</v>
      </c>
      <c r="I1000" s="7" t="s">
        <v>21</v>
      </c>
      <c r="J1000" s="7" t="s">
        <v>30</v>
      </c>
      <c r="K1000" s="7" t="s">
        <v>31</v>
      </c>
      <c r="L1000" s="7" t="s">
        <v>60</v>
      </c>
      <c r="M1000" s="7" t="s">
        <v>41</v>
      </c>
      <c r="N1000" s="7">
        <v>5</v>
      </c>
      <c r="O1000" s="7">
        <v>24295</v>
      </c>
      <c r="P1000" s="7">
        <v>103253.75</v>
      </c>
      <c r="Q1000" s="9">
        <v>21243.59</v>
      </c>
      <c r="R1000" s="17">
        <f t="shared" si="15"/>
        <v>0.2057415832354757</v>
      </c>
    </row>
    <row r="1001" spans="2:18" x14ac:dyDescent="0.3">
      <c r="B1001" s="21" t="s">
        <v>2050</v>
      </c>
      <c r="C1001" s="11">
        <v>45418</v>
      </c>
      <c r="D1001" s="10" t="s">
        <v>2051</v>
      </c>
      <c r="E1001" s="10" t="s">
        <v>55</v>
      </c>
      <c r="F1001" s="10" t="s">
        <v>37</v>
      </c>
      <c r="G1001" s="10">
        <v>47</v>
      </c>
      <c r="H1001" s="10" t="s">
        <v>38</v>
      </c>
      <c r="I1001" s="10" t="s">
        <v>46</v>
      </c>
      <c r="J1001" s="10" t="s">
        <v>50</v>
      </c>
      <c r="K1001" s="10" t="s">
        <v>23</v>
      </c>
      <c r="L1001" s="10" t="s">
        <v>80</v>
      </c>
      <c r="M1001" s="10" t="s">
        <v>33</v>
      </c>
      <c r="N1001" s="10">
        <v>1</v>
      </c>
      <c r="O1001" s="10">
        <v>4312</v>
      </c>
      <c r="P1001" s="10">
        <v>3449.6</v>
      </c>
      <c r="Q1001" s="12">
        <v>1269.55</v>
      </c>
      <c r="R1001" s="17">
        <f t="shared" si="15"/>
        <v>0.36802817717996289</v>
      </c>
    </row>
    <row r="1002" spans="2:18" x14ac:dyDescent="0.3">
      <c r="B1002" s="22" t="s">
        <v>2052</v>
      </c>
      <c r="C1002" s="14">
        <v>45369</v>
      </c>
      <c r="D1002" s="13" t="s">
        <v>2053</v>
      </c>
      <c r="E1002" s="13" t="s">
        <v>18</v>
      </c>
      <c r="F1002" s="13" t="s">
        <v>19</v>
      </c>
      <c r="G1002" s="13">
        <v>56</v>
      </c>
      <c r="H1002" s="13" t="s">
        <v>20</v>
      </c>
      <c r="I1002" s="13" t="s">
        <v>39</v>
      </c>
      <c r="J1002" s="13" t="s">
        <v>50</v>
      </c>
      <c r="K1002" s="13" t="s">
        <v>69</v>
      </c>
      <c r="L1002" s="13" t="s">
        <v>60</v>
      </c>
      <c r="M1002" s="13" t="s">
        <v>52</v>
      </c>
      <c r="N1002" s="13">
        <v>1</v>
      </c>
      <c r="O1002" s="13">
        <v>28467</v>
      </c>
      <c r="P1002" s="13">
        <v>24196.95</v>
      </c>
      <c r="Q1002" s="15">
        <v>4701.21</v>
      </c>
      <c r="R1002" s="17">
        <f t="shared" si="15"/>
        <v>0.19428936291557405</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F3801-6696-4D34-B95B-3D41A92AABE1}">
  <dimension ref="B1:Q28"/>
  <sheetViews>
    <sheetView tabSelected="1" workbookViewId="0">
      <selection activeCell="R17" sqref="R17"/>
    </sheetView>
  </sheetViews>
  <sheetFormatPr defaultRowHeight="14.4" x14ac:dyDescent="0.3"/>
  <cols>
    <col min="2" max="2" width="14.21875" bestFit="1" customWidth="1"/>
    <col min="3" max="3" width="11.5546875" bestFit="1" customWidth="1"/>
    <col min="4" max="4" width="6" customWidth="1"/>
    <col min="5" max="5" width="11.21875" bestFit="1" customWidth="1"/>
    <col min="6" max="6" width="16.44140625" customWidth="1"/>
    <col min="7" max="7" width="5.6640625" customWidth="1"/>
    <col min="8" max="8" width="12.88671875" bestFit="1" customWidth="1"/>
    <col min="9" max="9" width="11.5546875" bestFit="1" customWidth="1"/>
    <col min="10" max="10" width="5" customWidth="1"/>
    <col min="11" max="11" width="17.109375" customWidth="1"/>
    <col min="12" max="12" width="10.44140625" customWidth="1"/>
    <col min="13" max="13" width="8.33203125" customWidth="1"/>
    <col min="14" max="14" width="7.109375" customWidth="1"/>
    <col min="15" max="15" width="5.77734375" customWidth="1"/>
    <col min="16" max="16" width="22.21875" style="23" customWidth="1"/>
    <col min="17" max="17" width="13.109375" bestFit="1" customWidth="1"/>
  </cols>
  <sheetData>
    <row r="1" spans="2:17" x14ac:dyDescent="0.3">
      <c r="B1" s="23"/>
      <c r="C1" s="23"/>
      <c r="D1" s="23"/>
      <c r="E1" s="23"/>
      <c r="F1" s="23"/>
      <c r="G1" s="23"/>
      <c r="H1" s="23"/>
      <c r="I1" s="23"/>
      <c r="J1" s="23"/>
      <c r="K1" s="23"/>
      <c r="L1" s="23"/>
      <c r="M1" s="23"/>
      <c r="N1" s="23"/>
      <c r="O1" s="23"/>
    </row>
    <row r="2" spans="2:17" x14ac:dyDescent="0.3">
      <c r="B2" s="23"/>
      <c r="C2" s="23"/>
      <c r="D2" s="23"/>
      <c r="E2" s="23"/>
      <c r="F2" s="23"/>
      <c r="G2" s="23"/>
      <c r="H2" s="23"/>
      <c r="I2" s="23"/>
      <c r="J2" s="23"/>
      <c r="K2" s="23"/>
      <c r="L2" s="23"/>
      <c r="M2" s="23"/>
      <c r="N2" s="23"/>
      <c r="O2" s="23"/>
    </row>
    <row r="3" spans="2:17" x14ac:dyDescent="0.3">
      <c r="B3" s="23"/>
      <c r="C3" s="23"/>
      <c r="D3" s="23"/>
      <c r="E3" s="23"/>
      <c r="F3" s="23"/>
      <c r="G3" s="23"/>
      <c r="H3" s="23"/>
      <c r="I3" s="23"/>
      <c r="J3" s="23"/>
      <c r="K3" s="23"/>
      <c r="L3" s="23"/>
      <c r="M3" s="23"/>
      <c r="N3" s="23"/>
      <c r="O3" s="23"/>
      <c r="Q3" s="27"/>
    </row>
    <row r="4" spans="2:17" x14ac:dyDescent="0.3">
      <c r="B4" s="23"/>
      <c r="C4" s="23"/>
      <c r="D4" s="23"/>
      <c r="E4" s="23"/>
      <c r="F4" s="23"/>
      <c r="G4" s="23"/>
      <c r="H4" s="23"/>
      <c r="I4" s="23"/>
      <c r="J4" s="23"/>
      <c r="K4" s="23"/>
      <c r="L4" s="23"/>
      <c r="M4" s="23"/>
      <c r="N4" s="23"/>
      <c r="O4" s="23"/>
      <c r="Q4" s="27"/>
    </row>
    <row r="5" spans="2:17" x14ac:dyDescent="0.3">
      <c r="B5" s="24" t="s">
        <v>2055</v>
      </c>
      <c r="C5" s="24" t="s">
        <v>2056</v>
      </c>
      <c r="D5" s="23"/>
      <c r="E5" s="24" t="s">
        <v>7</v>
      </c>
      <c r="F5" s="24" t="s">
        <v>2056</v>
      </c>
      <c r="G5" s="23"/>
      <c r="H5" s="24" t="s">
        <v>8</v>
      </c>
      <c r="I5" s="24" t="s">
        <v>2056</v>
      </c>
      <c r="J5" s="23"/>
      <c r="K5" s="24" t="s">
        <v>2058</v>
      </c>
      <c r="L5" s="24" t="s">
        <v>7</v>
      </c>
      <c r="M5" s="24"/>
      <c r="N5" s="24"/>
      <c r="O5" s="23"/>
      <c r="Q5" s="27"/>
    </row>
    <row r="6" spans="2:17" x14ac:dyDescent="0.3">
      <c r="B6" s="24" t="s">
        <v>40</v>
      </c>
      <c r="C6" s="25">
        <v>17097557.45000001</v>
      </c>
      <c r="D6" s="23"/>
      <c r="E6" s="24" t="s">
        <v>46</v>
      </c>
      <c r="F6" s="25">
        <v>12675755.350000001</v>
      </c>
      <c r="G6" s="23"/>
      <c r="H6" s="24" t="s">
        <v>30</v>
      </c>
      <c r="I6" s="25">
        <v>23658882.400000002</v>
      </c>
      <c r="J6" s="23"/>
      <c r="K6" s="24" t="s">
        <v>2055</v>
      </c>
      <c r="L6" s="24" t="s">
        <v>39</v>
      </c>
      <c r="M6" s="24" t="s">
        <v>21</v>
      </c>
      <c r="N6" s="24" t="s">
        <v>46</v>
      </c>
      <c r="O6" s="23"/>
      <c r="Q6" s="27"/>
    </row>
    <row r="7" spans="2:17" x14ac:dyDescent="0.3">
      <c r="B7" s="24" t="s">
        <v>69</v>
      </c>
      <c r="C7" s="25">
        <v>13871909.999999996</v>
      </c>
      <c r="D7" s="23"/>
      <c r="E7" s="24" t="s">
        <v>39</v>
      </c>
      <c r="F7" s="25">
        <v>14681163.199999994</v>
      </c>
      <c r="G7" s="23"/>
      <c r="H7" s="24" t="s">
        <v>22</v>
      </c>
      <c r="I7" s="25">
        <v>23581522.149999991</v>
      </c>
      <c r="J7" s="23"/>
      <c r="K7" s="24" t="s">
        <v>69</v>
      </c>
      <c r="L7" s="26">
        <v>0.25076621197700572</v>
      </c>
      <c r="M7" s="26">
        <v>0.28436780060037037</v>
      </c>
      <c r="N7" s="26">
        <v>0.27322683461864355</v>
      </c>
      <c r="O7" s="23"/>
      <c r="Q7" s="27"/>
    </row>
    <row r="8" spans="2:17" x14ac:dyDescent="0.3">
      <c r="B8" s="24" t="s">
        <v>31</v>
      </c>
      <c r="C8" s="25">
        <v>13368746.749999996</v>
      </c>
      <c r="D8" s="23"/>
      <c r="E8" s="24" t="s">
        <v>21</v>
      </c>
      <c r="F8" s="25">
        <v>42577385.54999996</v>
      </c>
      <c r="G8" s="23"/>
      <c r="H8" s="24" t="s">
        <v>50</v>
      </c>
      <c r="I8" s="25">
        <v>22693899.54999999</v>
      </c>
      <c r="J8" s="23"/>
      <c r="K8" s="24" t="s">
        <v>23</v>
      </c>
      <c r="L8" s="26">
        <v>0.27670180180381804</v>
      </c>
      <c r="M8" s="26">
        <v>0.2667269358317037</v>
      </c>
      <c r="N8" s="26">
        <v>0.29300145761657947</v>
      </c>
      <c r="O8" s="23"/>
      <c r="Q8" s="27"/>
    </row>
    <row r="9" spans="2:17" x14ac:dyDescent="0.3">
      <c r="B9" s="24" t="s">
        <v>51</v>
      </c>
      <c r="C9" s="25">
        <v>13119021.250000002</v>
      </c>
      <c r="D9" s="23"/>
      <c r="E9" s="24" t="s">
        <v>2054</v>
      </c>
      <c r="F9" s="25">
        <v>69934304.099999964</v>
      </c>
      <c r="G9" s="23"/>
      <c r="H9" s="24" t="s">
        <v>2054</v>
      </c>
      <c r="I9" s="25">
        <v>69934304.099999994</v>
      </c>
      <c r="J9" s="23"/>
      <c r="K9" s="24" t="s">
        <v>51</v>
      </c>
      <c r="L9" s="26">
        <v>0.27665637395775583</v>
      </c>
      <c r="M9" s="26">
        <v>0.27387770929364325</v>
      </c>
      <c r="N9" s="26">
        <v>0.26859240119935718</v>
      </c>
      <c r="O9" s="23"/>
      <c r="Q9" s="27"/>
    </row>
    <row r="10" spans="2:17" x14ac:dyDescent="0.3">
      <c r="B10" s="24" t="s">
        <v>23</v>
      </c>
      <c r="C10" s="25">
        <v>12477068.65000001</v>
      </c>
      <c r="D10" s="23"/>
      <c r="E10" s="23"/>
      <c r="F10" s="23"/>
      <c r="G10" s="23"/>
      <c r="H10" s="23"/>
      <c r="I10" s="23"/>
      <c r="J10" s="23"/>
      <c r="K10" s="24" t="s">
        <v>40</v>
      </c>
      <c r="L10" s="26">
        <v>0.25590288583726151</v>
      </c>
      <c r="M10" s="26">
        <v>0.2804169806327047</v>
      </c>
      <c r="N10" s="26">
        <v>0.26767301438826718</v>
      </c>
      <c r="O10" s="23"/>
      <c r="Q10" s="27"/>
    </row>
    <row r="11" spans="2:17" x14ac:dyDescent="0.3">
      <c r="B11" s="24" t="s">
        <v>2054</v>
      </c>
      <c r="C11" s="25">
        <v>69934304.100000009</v>
      </c>
      <c r="D11" s="23"/>
      <c r="E11" s="23"/>
      <c r="F11" s="23"/>
      <c r="G11" s="23"/>
      <c r="H11" s="23"/>
      <c r="I11" s="23"/>
      <c r="J11" s="23"/>
      <c r="K11" s="24" t="s">
        <v>31</v>
      </c>
      <c r="L11" s="26">
        <v>0.26516957344100972</v>
      </c>
      <c r="M11" s="26">
        <v>0.27089436787005111</v>
      </c>
      <c r="N11" s="26">
        <v>0.27999329067645529</v>
      </c>
      <c r="O11" s="23"/>
      <c r="Q11" s="27"/>
    </row>
    <row r="12" spans="2:17" x14ac:dyDescent="0.3">
      <c r="B12" s="23"/>
      <c r="C12" s="23"/>
      <c r="D12" s="23"/>
      <c r="E12" s="23"/>
      <c r="F12" s="23"/>
      <c r="G12" s="23"/>
      <c r="H12" s="23"/>
      <c r="I12" s="23"/>
      <c r="J12" s="23"/>
      <c r="K12" s="24" t="s">
        <v>2054</v>
      </c>
      <c r="L12" s="26">
        <v>0.26356863322411922</v>
      </c>
      <c r="M12" s="26">
        <v>0.27538328345689922</v>
      </c>
      <c r="N12" s="26">
        <v>0.27658319655979408</v>
      </c>
      <c r="O12" s="23"/>
      <c r="Q12" s="27"/>
    </row>
    <row r="13" spans="2:17" x14ac:dyDescent="0.3">
      <c r="B13" s="23"/>
      <c r="C13" s="23"/>
      <c r="D13" s="23"/>
      <c r="E13" s="23"/>
      <c r="F13" s="23"/>
      <c r="G13" s="23"/>
      <c r="H13" s="23"/>
      <c r="I13" s="23"/>
      <c r="J13" s="23"/>
      <c r="K13" s="23"/>
      <c r="L13" s="23"/>
      <c r="M13" s="23"/>
      <c r="N13" s="23"/>
      <c r="O13" s="23"/>
      <c r="Q13" s="27"/>
    </row>
    <row r="14" spans="2:17" x14ac:dyDescent="0.3">
      <c r="B14" s="23"/>
      <c r="C14" s="23"/>
      <c r="D14" s="23"/>
      <c r="E14" s="23"/>
      <c r="F14" s="23"/>
      <c r="G14" s="23"/>
      <c r="H14" s="23"/>
      <c r="I14" s="23"/>
      <c r="J14" s="23"/>
      <c r="K14" s="23"/>
      <c r="L14" s="23"/>
      <c r="M14" s="23"/>
      <c r="N14" s="23"/>
      <c r="O14" s="23"/>
      <c r="Q14" s="27"/>
    </row>
    <row r="15" spans="2:17" x14ac:dyDescent="0.3">
      <c r="B15" s="23"/>
      <c r="C15" s="23"/>
      <c r="D15" s="23"/>
      <c r="E15" s="23"/>
      <c r="F15" s="23"/>
      <c r="G15" s="23"/>
      <c r="H15" s="23"/>
      <c r="I15" s="23"/>
      <c r="J15" s="23"/>
      <c r="K15" s="23"/>
      <c r="L15" s="23"/>
      <c r="M15" s="23"/>
      <c r="N15" s="23"/>
      <c r="O15" s="23"/>
      <c r="Q15" s="27"/>
    </row>
    <row r="16" spans="2:17" x14ac:dyDescent="0.3">
      <c r="B16" s="23"/>
      <c r="C16" s="23"/>
      <c r="D16" s="23"/>
      <c r="E16" s="23"/>
      <c r="F16" s="23"/>
      <c r="G16" s="23"/>
      <c r="H16" s="23"/>
      <c r="I16" s="23"/>
      <c r="J16" s="23"/>
      <c r="K16" s="23"/>
      <c r="L16" s="23"/>
      <c r="M16" s="23"/>
      <c r="N16" s="23"/>
      <c r="O16" s="23"/>
      <c r="Q16" s="27"/>
    </row>
    <row r="17" spans="2:17" x14ac:dyDescent="0.3">
      <c r="B17" s="23"/>
      <c r="C17" s="23"/>
      <c r="D17" s="23"/>
      <c r="E17" s="23"/>
      <c r="F17" s="23"/>
      <c r="G17" s="23"/>
      <c r="H17" s="23"/>
      <c r="I17" s="23"/>
      <c r="J17" s="23"/>
      <c r="K17" s="23"/>
      <c r="L17" s="23"/>
      <c r="M17" s="23"/>
      <c r="N17" s="23"/>
      <c r="O17" s="23"/>
      <c r="Q17" s="27"/>
    </row>
    <row r="18" spans="2:17" x14ac:dyDescent="0.3">
      <c r="B18" s="23"/>
      <c r="C18" s="23"/>
      <c r="D18" s="23"/>
      <c r="E18" s="23"/>
      <c r="F18" s="23"/>
      <c r="G18" s="23"/>
      <c r="H18" s="23"/>
      <c r="I18" s="23"/>
      <c r="J18" s="23"/>
      <c r="K18" s="23"/>
      <c r="L18" s="23"/>
      <c r="M18" s="23"/>
      <c r="N18" s="23"/>
      <c r="O18" s="23"/>
      <c r="Q18" s="27"/>
    </row>
    <row r="19" spans="2:17" x14ac:dyDescent="0.3">
      <c r="B19" s="23"/>
      <c r="C19" s="23"/>
      <c r="D19" s="23"/>
      <c r="E19" s="23"/>
      <c r="F19" s="23"/>
      <c r="G19" s="23"/>
      <c r="H19" s="23"/>
      <c r="I19" s="23"/>
      <c r="J19" s="23"/>
      <c r="K19" s="23"/>
      <c r="L19" s="23"/>
      <c r="M19" s="23"/>
      <c r="N19" s="23"/>
      <c r="O19" s="23"/>
      <c r="Q19" s="27"/>
    </row>
    <row r="20" spans="2:17" x14ac:dyDescent="0.3">
      <c r="B20" s="23"/>
      <c r="C20" s="23"/>
      <c r="D20" s="23"/>
      <c r="E20" s="23"/>
      <c r="F20" s="23"/>
      <c r="G20" s="23"/>
      <c r="H20" s="23"/>
      <c r="I20" s="23"/>
      <c r="J20" s="23"/>
      <c r="K20" s="23"/>
      <c r="L20" s="23"/>
      <c r="M20" s="23"/>
      <c r="N20" s="23"/>
      <c r="O20" s="23"/>
      <c r="Q20" s="27"/>
    </row>
    <row r="21" spans="2:17" x14ac:dyDescent="0.3">
      <c r="B21" s="23"/>
      <c r="C21" s="23"/>
      <c r="D21" s="23"/>
      <c r="E21" s="23"/>
      <c r="F21" s="23"/>
      <c r="G21" s="23"/>
      <c r="H21" s="23"/>
      <c r="I21" s="23"/>
      <c r="J21" s="23"/>
      <c r="K21" s="23"/>
      <c r="L21" s="23"/>
      <c r="M21" s="23"/>
      <c r="N21" s="23"/>
      <c r="O21" s="23"/>
      <c r="Q21" s="27"/>
    </row>
    <row r="22" spans="2:17" x14ac:dyDescent="0.3">
      <c r="B22" s="23"/>
      <c r="C22" s="23"/>
      <c r="D22" s="23"/>
      <c r="E22" s="23"/>
      <c r="F22" s="23"/>
      <c r="G22" s="23"/>
      <c r="H22" s="23"/>
      <c r="I22" s="23"/>
      <c r="J22" s="23"/>
      <c r="K22" s="23"/>
      <c r="L22" s="23"/>
      <c r="M22" s="23"/>
      <c r="N22" s="23"/>
      <c r="O22" s="23"/>
      <c r="Q22" s="27"/>
    </row>
    <row r="23" spans="2:17" x14ac:dyDescent="0.3">
      <c r="B23" s="23"/>
      <c r="C23" s="23"/>
      <c r="D23" s="23"/>
      <c r="E23" s="23"/>
      <c r="F23" s="23"/>
      <c r="G23" s="23"/>
      <c r="H23" s="23"/>
      <c r="I23" s="23"/>
      <c r="J23" s="23"/>
      <c r="K23" s="23"/>
      <c r="L23" s="23"/>
      <c r="M23" s="23"/>
      <c r="N23" s="23"/>
      <c r="O23" s="23"/>
      <c r="Q23" s="27"/>
    </row>
    <row r="24" spans="2:17" x14ac:dyDescent="0.3">
      <c r="B24" s="23"/>
      <c r="C24" s="23"/>
      <c r="D24" s="23"/>
      <c r="E24" s="23"/>
      <c r="F24" s="23"/>
      <c r="G24" s="23"/>
      <c r="H24" s="23"/>
      <c r="I24" s="23"/>
      <c r="J24" s="23"/>
      <c r="K24" s="23"/>
      <c r="L24" s="23"/>
      <c r="M24" s="23"/>
      <c r="N24" s="23"/>
      <c r="O24" s="23"/>
      <c r="Q24" s="27"/>
    </row>
    <row r="25" spans="2:17" x14ac:dyDescent="0.3">
      <c r="B25" s="23"/>
      <c r="C25" s="23"/>
      <c r="D25" s="23"/>
      <c r="E25" s="23"/>
      <c r="F25" s="23"/>
      <c r="G25" s="23"/>
      <c r="H25" s="23"/>
      <c r="I25" s="23"/>
      <c r="J25" s="23"/>
      <c r="K25" s="23"/>
      <c r="L25" s="23"/>
      <c r="M25" s="23"/>
      <c r="N25" s="23"/>
      <c r="O25" s="23"/>
      <c r="Q25" s="27"/>
    </row>
    <row r="26" spans="2:17" x14ac:dyDescent="0.3">
      <c r="B26" s="23"/>
      <c r="C26" s="23"/>
      <c r="D26" s="23"/>
      <c r="E26" s="23"/>
      <c r="F26" s="23"/>
      <c r="G26" s="23"/>
      <c r="H26" s="23"/>
      <c r="I26" s="23"/>
      <c r="J26" s="23"/>
      <c r="K26" s="23"/>
      <c r="L26" s="23"/>
      <c r="M26" s="23"/>
      <c r="N26" s="23"/>
      <c r="O26" s="23"/>
      <c r="Q26" s="27"/>
    </row>
    <row r="27" spans="2:17" x14ac:dyDescent="0.3">
      <c r="B27" s="23"/>
      <c r="C27" s="23"/>
      <c r="D27" s="23"/>
      <c r="E27" s="23"/>
      <c r="F27" s="23"/>
      <c r="G27" s="23"/>
      <c r="H27" s="23"/>
      <c r="I27" s="23"/>
      <c r="J27" s="23"/>
      <c r="K27" s="23"/>
      <c r="L27" s="23"/>
      <c r="M27" s="23"/>
      <c r="N27" s="23"/>
      <c r="O27" s="23"/>
      <c r="Q27" s="27"/>
    </row>
    <row r="28" spans="2:17" x14ac:dyDescent="0.3">
      <c r="B28" s="23"/>
      <c r="C28" s="23"/>
      <c r="D28" s="23"/>
      <c r="E28" s="23"/>
      <c r="F28" s="23"/>
      <c r="G28" s="23"/>
      <c r="H28" s="23"/>
      <c r="I28" s="23"/>
      <c r="J28" s="23"/>
      <c r="K28" s="23"/>
      <c r="L28" s="23"/>
      <c r="M28" s="23"/>
      <c r="N28" s="23"/>
      <c r="O28" s="23"/>
      <c r="Q28" s="27"/>
    </row>
  </sheetData>
  <conditionalFormatting sqref="E6">
    <cfRule type="top10" dxfId="379" priority="10" rank="1"/>
  </conditionalFormatting>
  <conditionalFormatting sqref="E6:E8">
    <cfRule type="cellIs" dxfId="378" priority="9" operator="equal">
      <formula>42577386</formula>
    </cfRule>
  </conditionalFormatting>
  <conditionalFormatting sqref="H6">
    <cfRule type="top10" dxfId="375" priority="6" rank="1"/>
  </conditionalFormatting>
  <conditionalFormatting sqref="H6:H8">
    <cfRule type="cellIs" dxfId="374" priority="5" operator="equal">
      <formula>42577386</formula>
    </cfRule>
  </conditionalFormatting>
  <conditionalFormatting sqref="P6">
    <cfRule type="top10" dxfId="367" priority="2" rank="1"/>
  </conditionalFormatting>
  <conditionalFormatting sqref="P6:P8">
    <cfRule type="cellIs" dxfId="366" priority="1" operator="equal">
      <formula>42577386</formula>
    </cfRule>
  </conditionalFormatting>
  <pageMargins left="0.7" right="0.7" top="0.75" bottom="0.75" header="0.3" footer="0.3"/>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Ecommerce_Data</vt:lpstr>
      <vt:lpstr>pivot table and charts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supriya lokhande</cp:lastModifiedBy>
  <dcterms:created xsi:type="dcterms:W3CDTF">2026-01-16T12:10:03Z</dcterms:created>
  <dcterms:modified xsi:type="dcterms:W3CDTF">2026-01-16T14:19:01Z</dcterms:modified>
</cp:coreProperties>
</file>